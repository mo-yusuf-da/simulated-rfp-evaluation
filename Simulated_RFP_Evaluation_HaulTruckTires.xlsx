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1b43195ea46643e/Documents/Resume/2026/20261006_Burnco_Contracts and Sourcing Analyst/simulated-rfp-evaluation/"/>
    </mc:Choice>
  </mc:AlternateContent>
  <xr:revisionPtr revIDLastSave="0" documentId="8_{A340DFBC-3136-4F31-9E63-79E69DF2F55F}" xr6:coauthVersionLast="47" xr6:coauthVersionMax="47" xr10:uidLastSave="{00000000-0000-0000-0000-000000000000}"/>
  <bookViews>
    <workbookView xWindow="62520" yWindow="3465" windowWidth="29040" windowHeight="15720" tabRatio="663" xr2:uid="{00000000-000D-0000-FFFF-FFFF00000000}"/>
  </bookViews>
  <sheets>
    <sheet name="Overview" sheetId="1" r:id="rId1"/>
    <sheet name="Assumptions" sheetId="2" r:id="rId2"/>
    <sheet name="Criteria" sheetId="3" r:id="rId3"/>
    <sheet name="Pricing_Template" sheetId="4" r:id="rId4"/>
    <sheet name="Bids" sheetId="5" r:id="rId5"/>
    <sheet name="TCO" sheetId="6" r:id="rId6"/>
    <sheet name="TCO_Summary" sheetId="7" r:id="rId7"/>
    <sheet name="Scoring" sheetId="8" r:id="rId8"/>
    <sheet name="Sensitivity" sheetId="9" r:id="rId9"/>
    <sheet name="Recommendation"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9" l="1"/>
  <c r="E4" i="9"/>
  <c r="D4" i="9"/>
  <c r="C4" i="9"/>
  <c r="B10" i="8"/>
  <c r="A10" i="8"/>
  <c r="B9" i="8"/>
  <c r="A9" i="8"/>
  <c r="B8" i="8"/>
  <c r="A8" i="8"/>
  <c r="B7" i="8"/>
  <c r="A7" i="8"/>
  <c r="B6" i="8"/>
  <c r="B11" i="8" s="1"/>
  <c r="A6" i="8"/>
  <c r="B5" i="8"/>
  <c r="A5" i="8"/>
  <c r="E4" i="8"/>
  <c r="D4" i="8"/>
  <c r="C4" i="8"/>
  <c r="B7" i="7"/>
  <c r="G7" i="7" s="1"/>
  <c r="A7" i="7"/>
  <c r="B6" i="7"/>
  <c r="G6" i="7" s="1"/>
  <c r="A6" i="7"/>
  <c r="B5" i="7"/>
  <c r="B8" i="10" s="1"/>
  <c r="A5" i="7"/>
  <c r="F48" i="6"/>
  <c r="E48" i="6"/>
  <c r="D48" i="6"/>
  <c r="C48" i="6"/>
  <c r="B48" i="6"/>
  <c r="F42" i="6"/>
  <c r="E42" i="6"/>
  <c r="D42" i="6"/>
  <c r="C42" i="6"/>
  <c r="G42" i="6" s="1"/>
  <c r="B42" i="6"/>
  <c r="F39" i="6"/>
  <c r="E39" i="6"/>
  <c r="D39" i="6"/>
  <c r="C39" i="6"/>
  <c r="B39" i="6"/>
  <c r="D38" i="6"/>
  <c r="D43" i="6" s="1"/>
  <c r="C38" i="6"/>
  <c r="C41" i="6" s="1"/>
  <c r="B38" i="6"/>
  <c r="B43" i="6" s="1"/>
  <c r="A36" i="6"/>
  <c r="F32" i="6"/>
  <c r="E32" i="6"/>
  <c r="D32" i="6"/>
  <c r="C32" i="6"/>
  <c r="B32" i="6"/>
  <c r="E27" i="6"/>
  <c r="E28" i="6" s="1"/>
  <c r="F26" i="6"/>
  <c r="E26" i="6"/>
  <c r="D26" i="6"/>
  <c r="C26" i="6"/>
  <c r="B26" i="6"/>
  <c r="G26" i="6" s="1"/>
  <c r="F23" i="6"/>
  <c r="E23" i="6"/>
  <c r="D23" i="6"/>
  <c r="C23" i="6"/>
  <c r="B23" i="6"/>
  <c r="E22" i="6"/>
  <c r="E24" i="6" s="1"/>
  <c r="C22" i="6"/>
  <c r="C27" i="6" s="1"/>
  <c r="B22" i="6"/>
  <c r="B25" i="6" s="1"/>
  <c r="A20" i="6"/>
  <c r="F16" i="6"/>
  <c r="E16" i="6"/>
  <c r="D16" i="6"/>
  <c r="C16" i="6"/>
  <c r="B16" i="6"/>
  <c r="D11" i="6"/>
  <c r="D12" i="6" s="1"/>
  <c r="F10" i="6"/>
  <c r="E10" i="6"/>
  <c r="D10" i="6"/>
  <c r="C10" i="6"/>
  <c r="B10" i="6"/>
  <c r="G10" i="6" s="1"/>
  <c r="F7" i="6"/>
  <c r="E7" i="6"/>
  <c r="D7" i="6"/>
  <c r="C7" i="6"/>
  <c r="B7" i="6"/>
  <c r="D6" i="6"/>
  <c r="D8" i="6" s="1"/>
  <c r="B6" i="6"/>
  <c r="B11" i="6" s="1"/>
  <c r="A4" i="6"/>
  <c r="C11" i="3"/>
  <c r="B11" i="3"/>
  <c r="B7" i="2"/>
  <c r="F6" i="6" s="1"/>
  <c r="F9" i="6" l="1"/>
  <c r="F11" i="6"/>
  <c r="F8" i="6"/>
  <c r="C28" i="6"/>
  <c r="C29" i="6"/>
  <c r="E31" i="6"/>
  <c r="E33" i="6" s="1"/>
  <c r="E30" i="6"/>
  <c r="B44" i="6"/>
  <c r="B45" i="6"/>
  <c r="B12" i="6"/>
  <c r="B13" i="6"/>
  <c r="D14" i="6"/>
  <c r="D44" i="6"/>
  <c r="D45" i="6"/>
  <c r="C6" i="6"/>
  <c r="B9" i="6"/>
  <c r="D22" i="6"/>
  <c r="C25" i="6"/>
  <c r="E38" i="6"/>
  <c r="B40" i="6"/>
  <c r="D41" i="6"/>
  <c r="B41" i="6"/>
  <c r="B24" i="6"/>
  <c r="F38" i="6"/>
  <c r="C40" i="6"/>
  <c r="G5" i="7"/>
  <c r="E6" i="6"/>
  <c r="B8" i="6"/>
  <c r="D9" i="6"/>
  <c r="D15" i="6" s="1"/>
  <c r="D17" i="6" s="1"/>
  <c r="D13" i="6"/>
  <c r="F22" i="6"/>
  <c r="C24" i="6"/>
  <c r="E25" i="6"/>
  <c r="E29" i="6"/>
  <c r="D40" i="6"/>
  <c r="G22" i="6"/>
  <c r="B27" i="6"/>
  <c r="C43" i="6"/>
  <c r="F40" i="6" l="1"/>
  <c r="F43" i="6"/>
  <c r="F41" i="6"/>
  <c r="D46" i="6"/>
  <c r="D47" i="6" s="1"/>
  <c r="D49" i="6" s="1"/>
  <c r="B15" i="6"/>
  <c r="B14" i="6"/>
  <c r="C11" i="6"/>
  <c r="C8" i="6"/>
  <c r="C9" i="6"/>
  <c r="G9" i="6" s="1"/>
  <c r="G38" i="6"/>
  <c r="E11" i="6"/>
  <c r="E9" i="6"/>
  <c r="E8" i="6"/>
  <c r="F14" i="6"/>
  <c r="D24" i="6"/>
  <c r="D27" i="6"/>
  <c r="D25" i="6"/>
  <c r="B46" i="6"/>
  <c r="B47" i="6"/>
  <c r="B30" i="6"/>
  <c r="F13" i="6"/>
  <c r="F12" i="6"/>
  <c r="F15" i="6" s="1"/>
  <c r="F17" i="6" s="1"/>
  <c r="G6" i="6"/>
  <c r="C45" i="6"/>
  <c r="C44" i="6"/>
  <c r="C30" i="6"/>
  <c r="C31" i="6" s="1"/>
  <c r="C33" i="6" s="1"/>
  <c r="E40" i="6"/>
  <c r="E43" i="6"/>
  <c r="E41" i="6"/>
  <c r="G41" i="6" s="1"/>
  <c r="B29" i="6"/>
  <c r="B28" i="6"/>
  <c r="G27" i="6"/>
  <c r="F25" i="6"/>
  <c r="G25" i="6" s="1"/>
  <c r="F24" i="6"/>
  <c r="G24" i="6" s="1"/>
  <c r="F27" i="6"/>
  <c r="C46" i="6"/>
  <c r="B49" i="6" l="1"/>
  <c r="E44" i="6"/>
  <c r="G44" i="6" s="1"/>
  <c r="E45" i="6"/>
  <c r="D28" i="6"/>
  <c r="D31" i="6" s="1"/>
  <c r="D33" i="6" s="1"/>
  <c r="D29" i="6"/>
  <c r="G29" i="6" s="1"/>
  <c r="D30" i="6"/>
  <c r="G30" i="6" s="1"/>
  <c r="C14" i="6"/>
  <c r="C15" i="6"/>
  <c r="C17" i="6" s="1"/>
  <c r="E13" i="6"/>
  <c r="E12" i="6"/>
  <c r="E15" i="6" s="1"/>
  <c r="E46" i="6"/>
  <c r="G46" i="6" s="1"/>
  <c r="C12" i="6"/>
  <c r="C13" i="6"/>
  <c r="G11" i="6"/>
  <c r="G14" i="6"/>
  <c r="F44" i="6"/>
  <c r="F47" i="6" s="1"/>
  <c r="F49" i="6" s="1"/>
  <c r="F45" i="6"/>
  <c r="F30" i="6"/>
  <c r="B31" i="6"/>
  <c r="C47" i="6"/>
  <c r="C49" i="6" s="1"/>
  <c r="F28" i="6"/>
  <c r="F31" i="6" s="1"/>
  <c r="F33" i="6" s="1"/>
  <c r="F29" i="6"/>
  <c r="G43" i="6"/>
  <c r="G40" i="6"/>
  <c r="E14" i="6"/>
  <c r="G8" i="6"/>
  <c r="F46" i="6"/>
  <c r="B17" i="6"/>
  <c r="E17" i="6" l="1"/>
  <c r="G15" i="6"/>
  <c r="C5" i="7" s="1"/>
  <c r="G28" i="6"/>
  <c r="B33" i="6"/>
  <c r="G33" i="6" s="1"/>
  <c r="D6" i="7" s="1"/>
  <c r="G31" i="6"/>
  <c r="C6" i="7" s="1"/>
  <c r="G49" i="6"/>
  <c r="D7" i="7" s="1"/>
  <c r="G17" i="6"/>
  <c r="D5" i="7" s="1"/>
  <c r="G45" i="6"/>
  <c r="G13" i="6"/>
  <c r="G12" i="6"/>
  <c r="E47" i="6"/>
  <c r="E49" i="6" s="1"/>
  <c r="G47" i="6"/>
  <c r="C7" i="7" s="1"/>
  <c r="I5" i="7" l="1"/>
  <c r="C5" i="8" s="1"/>
  <c r="E5" i="7"/>
  <c r="H5" i="7"/>
  <c r="F5" i="7"/>
  <c r="H7" i="7"/>
  <c r="F7" i="7"/>
  <c r="I7" i="7"/>
  <c r="E5" i="8" s="1"/>
  <c r="E7" i="7"/>
  <c r="B9" i="10"/>
  <c r="I6" i="7"/>
  <c r="D5" i="8" s="1"/>
  <c r="H6" i="7"/>
  <c r="F6" i="7"/>
  <c r="E6" i="7"/>
  <c r="E8" i="9" l="1"/>
  <c r="E6" i="9"/>
  <c r="E7" i="9"/>
  <c r="E11" i="8"/>
  <c r="E5" i="9"/>
  <c r="D8" i="9"/>
  <c r="D6" i="9"/>
  <c r="D7" i="9"/>
  <c r="D5" i="9"/>
  <c r="D11" i="8"/>
  <c r="C8" i="9"/>
  <c r="F8" i="9" s="1"/>
  <c r="C6" i="9"/>
  <c r="C7" i="9"/>
  <c r="C11" i="8"/>
  <c r="C5" i="9"/>
  <c r="F5" i="9" s="1"/>
  <c r="F7" i="9" l="1"/>
  <c r="C12" i="8"/>
  <c r="C13" i="8"/>
  <c r="B5" i="10"/>
  <c r="B6" i="10"/>
  <c r="F6" i="9"/>
  <c r="E12" i="8"/>
  <c r="E13" i="8"/>
  <c r="D12" i="8"/>
  <c r="D13" i="8"/>
  <c r="B11" i="10" l="1"/>
  <c r="B7" i="10"/>
  <c r="B10" i="10" s="1"/>
</calcChain>
</file>

<file path=xl/sharedStrings.xml><?xml version="1.0" encoding="utf-8"?>
<sst xmlns="http://schemas.openxmlformats.org/spreadsheetml/2006/main" count="246" uniqueCount="183">
  <si>
    <t>Simulated RFP Evaluation: Off-Road Haul Truck Tires</t>
  </si>
  <si>
    <t>SIMULATED EXERCISE: all suppliers, prices, and performance data are fictitious and created for portfolio demonstration only.</t>
  </si>
  <si>
    <t>Purpose</t>
  </si>
  <si>
    <t>Portfolio exercise showing a competitive sourcing evaluation from criteria to award recommendation: weighted scoring plus a 5-year total-cost-of-ownership (TCO) comparison.</t>
  </si>
  <si>
    <t>Scenario</t>
  </si>
  <si>
    <t>A fictional aggregates producer is sourcing off-road haul truck tires (radial 29.5R25 class) for a 40-truck fleet under a 5-year supply agreement. Three fictitious suppliers bid.</t>
  </si>
  <si>
    <t>Disclaimer</t>
  </si>
  <si>
    <t>SIMULATED. Company names are invented; any resemblance to real companies is coincidental. All bid values and performance claims are made-up assumptions, not market data, and are not connected to any real employer or buyer.</t>
  </si>
  <si>
    <t>Method</t>
  </si>
  <si>
    <t>1) Define weighted criteria. 2) Collect bids on a standard pricing template. 3) Model 5-year TCO (purchase, freight, support, downtime, warranty credits, working-capital benefit), discounted to NPV. 4) Score each supplier 1 to 5 per criterion. 5) Apply weights, rank, and test sensitivity to the weights.</t>
  </si>
  <si>
    <t>Sheet guide</t>
  </si>
  <si>
    <t>Assumptions | Criteria | Pricing_Template | Bids | TCO | TCO_Summary | Scoring | Sensitivity | Recommendation</t>
  </si>
  <si>
    <t>Legend</t>
  </si>
  <si>
    <t>Blue text = hardcoded input. Black = formula. Green = link from another sheet. Yellow fill = key assumption to review. Change blue cells and every result recalculates.</t>
  </si>
  <si>
    <t>Key limits</t>
  </si>
  <si>
    <t>Premature failure rates, tire life, and delivery performance are treated as supplier-reported and unverified. A real evaluation would verify them with references, site trials, and warranty-claim history. Tires purchased per year are modeled as a steady average (fractional) for simplicity.</t>
  </si>
  <si>
    <t>Assumptions</t>
  </si>
  <si>
    <t>Assumption</t>
  </si>
  <si>
    <t>Value</t>
  </si>
  <si>
    <t>Basis</t>
  </si>
  <si>
    <t>Trucks in fleet</t>
  </si>
  <si>
    <t>Invented</t>
  </si>
  <si>
    <t>Tires per truck</t>
  </si>
  <si>
    <t>Standard 6-tire haul truck layout</t>
  </si>
  <si>
    <t>Operating hours per truck per year</t>
  </si>
  <si>
    <t>Annual tire-hours (fleet)</t>
  </si>
  <si>
    <t>Calculated: trucks x tires x hours</t>
  </si>
  <si>
    <t>Downtime hours per premature tire failure</t>
  </si>
  <si>
    <t>Downtime cost per hour ($)</t>
  </si>
  <si>
    <t>Invented: lost production and standby labour</t>
  </si>
  <si>
    <t>Cost of capital / discount rate</t>
  </si>
  <si>
    <t>Invented; used for NPV and working-capital benefit</t>
  </si>
  <si>
    <t>Contract term (years)</t>
  </si>
  <si>
    <t>Model is built for 5 annual columns</t>
  </si>
  <si>
    <t>Evaluation Criteria and Weights</t>
  </si>
  <si>
    <t>Criterion</t>
  </si>
  <si>
    <t>Weight</t>
  </si>
  <si>
    <t>What is assessed</t>
  </si>
  <si>
    <t>How scored</t>
  </si>
  <si>
    <t>Total cost of ownership</t>
  </si>
  <si>
    <t>5-year NPV cost: purchase, freight, support, downtime, warranty credits, working capital</t>
  </si>
  <si>
    <t>Formula: 5 x lowest NPV / supplier NPV</t>
  </si>
  <si>
    <t>Technical performance &amp; quality</t>
  </si>
  <si>
    <t>Guaranteed tire life, premature failure rate, spec compliance</t>
  </si>
  <si>
    <t>Evaluator score 1 to 5</t>
  </si>
  <si>
    <t>Delivery &amp; service</t>
  </si>
  <si>
    <t>Lead time, on-time delivery, onsite support</t>
  </si>
  <si>
    <t>Supplier risk &amp; compliance</t>
  </si>
  <si>
    <t>Financial stability, supply continuity, insurance, safety compliance</t>
  </si>
  <si>
    <t>Commercial terms</t>
  </si>
  <si>
    <t>Payment terms, warranty terms, price escalation protection, flexibility</t>
  </si>
  <si>
    <t>Sustainability &amp; safety practices</t>
  </si>
  <si>
    <t>Tire recycling or retread programs, safety record, ESG policy</t>
  </si>
  <si>
    <t>Total weight (must equal 100%)</t>
  </si>
  <si>
    <t>Score</t>
  </si>
  <si>
    <t>Meaning</t>
  </si>
  <si>
    <t>Excellent: clearly exceeds requirements</t>
  </si>
  <si>
    <t>Good: meets requirements with minor strengths</t>
  </si>
  <si>
    <t>Acceptable: meets minimum requirements</t>
  </si>
  <si>
    <t>Weak: gaps or notable concerns</t>
  </si>
  <si>
    <t>Poor: fails requirements or unacceptable risk</t>
  </si>
  <si>
    <t>Supplier Pricing Template (issued to bidders)</t>
  </si>
  <si>
    <t>Instructions: complete one row per item. Prices in CAD, delivered to the buyer's yard, excluding GST. Bids must hold for 90 days. Blue row is an EXAMPLE of the expected format.</t>
  </si>
  <si>
    <t>Line</t>
  </si>
  <si>
    <t>Item description</t>
  </si>
  <si>
    <t>Unit</t>
  </si>
  <si>
    <t>Est. annual qty</t>
  </si>
  <si>
    <t>Unit price ($)</t>
  </si>
  <si>
    <t>Freight ($/unit)</t>
  </si>
  <si>
    <t>Annual escalation (%)</t>
  </si>
  <si>
    <t>Payment terms (days)</t>
  </si>
  <si>
    <t>Guaranteed life (hours)</t>
  </si>
  <si>
    <t>Warranty credit on early failure (%)</t>
  </si>
  <si>
    <t>Lead time (weeks)</t>
  </si>
  <si>
    <t>Notes</t>
  </si>
  <si>
    <t>EXAMPLE: Radial 29.5R25 rock-service haul truck tire</t>
  </si>
  <si>
    <t>Each</t>
  </si>
  <si>
    <t>Example only</t>
  </si>
  <si>
    <t>Supplier declarations (bidder to confirm):</t>
  </si>
  <si>
    <t>[ ]</t>
  </si>
  <si>
    <t>Valid commercial liability insurance certificate attached</t>
  </si>
  <si>
    <t>Safety program and incident record attached</t>
  </si>
  <si>
    <t>Three customer references with fleet size and tire life data attached</t>
  </si>
  <si>
    <t>Warranty claim process and response time described</t>
  </si>
  <si>
    <t>All exceptions to the draft agreement listed</t>
  </si>
  <si>
    <t>Bid Data Received (invented)</t>
  </si>
  <si>
    <t>Bid parameter</t>
  </si>
  <si>
    <t>Northfield Tire</t>
  </si>
  <si>
    <t>Summit Tread</t>
  </si>
  <si>
    <t>Prairie Rubber</t>
  </si>
  <si>
    <t>Unit price per tire</t>
  </si>
  <si>
    <t>$</t>
  </si>
  <si>
    <t>Guaranteed tire life</t>
  </si>
  <si>
    <t>hours</t>
  </si>
  <si>
    <t>Freight per tire</t>
  </si>
  <si>
    <t>Annual onsite support fee</t>
  </si>
  <si>
    <t>$/yr</t>
  </si>
  <si>
    <t>Annual price escalation</t>
  </si>
  <si>
    <t>%</t>
  </si>
  <si>
    <t>Premature failure rate (supplier-reported)</t>
  </si>
  <si>
    <t>% of tires</t>
  </si>
  <si>
    <t>Warranty credit on premature failures</t>
  </si>
  <si>
    <t>% of price</t>
  </si>
  <si>
    <t>Payment terms</t>
  </si>
  <si>
    <t>days</t>
  </si>
  <si>
    <t>Lead time</t>
  </si>
  <si>
    <t>weeks</t>
  </si>
  <si>
    <t>On-time delivery, last 12 months (supplier-reported)</t>
  </si>
  <si>
    <t>All values are invented for this simulation. Lead time and on-time delivery inform the Delivery &amp; service score only; they do not enter the TCO model.</t>
  </si>
  <si>
    <t>5-Year Total Cost of Ownership by Supplier</t>
  </si>
  <si>
    <t>Cost line</t>
  </si>
  <si>
    <t>5-Year total</t>
  </si>
  <si>
    <t>Tires purchased (avg per year)</t>
  </si>
  <si>
    <t>Purchase cost</t>
  </si>
  <si>
    <t>Freight</t>
  </si>
  <si>
    <t>Onsite support fee</t>
  </si>
  <si>
    <t>Premature failures (tires)</t>
  </si>
  <si>
    <t>Downtime cost</t>
  </si>
  <si>
    <t>Warranty credit</t>
  </si>
  <si>
    <t>Working-capital benefit (payment terms)</t>
  </si>
  <si>
    <t>Total annual cost</t>
  </si>
  <si>
    <t>Discount factor</t>
  </si>
  <si>
    <t>Present value</t>
  </si>
  <si>
    <t>Working-capital benefit = purchase cost x cost of capital x payment-terms days / 365 (longer terms reduce cost). Costs are positive; credits and benefits are negative.</t>
  </si>
  <si>
    <t>TCO Summary: Lowest Price vs Lowest Cost</t>
  </si>
  <si>
    <t>Supplier</t>
  </si>
  <si>
    <t>5-year nominal TCO ($)</t>
  </si>
  <si>
    <t>5-year NPV TCO ($)</t>
  </si>
  <si>
    <t>NPV vs lowest ($)</t>
  </si>
  <si>
    <t>NPV vs lowest (%)</t>
  </si>
  <si>
    <t>Rank by unit price (1 = lowest)</t>
  </si>
  <si>
    <t>Rank by NPV TCO (1 = lowest)</t>
  </si>
  <si>
    <t>TCO score (1 to 5)</t>
  </si>
  <si>
    <t>TCO score = 5 x (lowest NPV TCO / supplier NPV TCO). The lowest-cost supplier scores 5.00.</t>
  </si>
  <si>
    <t>Weighted Scoring</t>
  </si>
  <si>
    <t>Weighted score (out of 5)</t>
  </si>
  <si>
    <t>Weighted score (% of maximum)</t>
  </si>
  <si>
    <t>Rank (1 = best)</t>
  </si>
  <si>
    <t>Scoring rationale (invented evaluator notes)</t>
  </si>
  <si>
    <t>Mid-range life (4,500 h), 4% failure rate</t>
  </si>
  <si>
    <t>Longest life (5,200 h), lowest failure rate (2%)</t>
  </si>
  <si>
    <t>Shortest life (3,800 h), 8% failure rate</t>
  </si>
  <si>
    <t>4-week lead time, 95% on time, paid support</t>
  </si>
  <si>
    <t>6-week lead time, 92% on time; slowest delivery</t>
  </si>
  <si>
    <t>3-week lead time, 96% on time; no onsite support</t>
  </si>
  <si>
    <t>Stable, complete insurance and safety documents</t>
  </si>
  <si>
    <t>Stable, complete documents, strong references</t>
  </si>
  <si>
    <t>Thin financials, incomplete safety records</t>
  </si>
  <si>
    <t>45-day terms, 3% escalation, 50% warranty credit</t>
  </si>
  <si>
    <t>30-day terms, 2% escalation cap, 75% warranty credit</t>
  </si>
  <si>
    <t>60-day terms but 4.5% escalation, 25% warranty credit</t>
  </si>
  <si>
    <t>Retread program offered</t>
  </si>
  <si>
    <t>Retread and recycling program, strong safety record</t>
  </si>
  <si>
    <t>No recycling program offered</t>
  </si>
  <si>
    <t>Sensitivity: How Robust Is the Award Decision?</t>
  </si>
  <si>
    <t>Weighting scenario</t>
  </si>
  <si>
    <t>TCO weight</t>
  </si>
  <si>
    <t>Winner</t>
  </si>
  <si>
    <t>Base case</t>
  </si>
  <si>
    <t>Cost-focused</t>
  </si>
  <si>
    <t>Quality-focused</t>
  </si>
  <si>
    <t>TCO ignored (non-cost only)</t>
  </si>
  <si>
    <t>Non-TCO criteria keep their relative weights and are rescaled so all weights sum to 100% in each scenario.</t>
  </si>
  <si>
    <t>Award Recommendation (simulated)</t>
  </si>
  <si>
    <t>Item</t>
  </si>
  <si>
    <t>Result</t>
  </si>
  <si>
    <t>Recommended supplier (highest weighted score)</t>
  </si>
  <si>
    <t>Recommended supplier 5-year NPV TCO</t>
  </si>
  <si>
    <t>Lowest unit-price bidder</t>
  </si>
  <si>
    <t>Lowest unit-price bidder 5-year NPV TCO</t>
  </si>
  <si>
    <t>Extra 5-year NPV cost of choosing the lowest unit price</t>
  </si>
  <si>
    <t>Same winner in every sensitivity scenario?</t>
  </si>
  <si>
    <t>Narrative (written for the base case as built; revisit if inputs change)</t>
  </si>
  <si>
    <t>Finding</t>
  </si>
  <si>
    <t>The lowest unit price does not give the lowest cost. Prairie Rubber's cheaper tires wear out sooner and fail early more often, so downtime and replacement volume outweigh the saving. Summit Tread has the highest unit price but the lowest 5-year NPV cost.</t>
  </si>
  <si>
    <t>Trade-off</t>
  </si>
  <si>
    <t>Summit Tread has the slowest lead time (6 weeks) and the shortest payment terms (30 days). Negotiate a lead-time commitment with a stock-holding or consignment arrangement.</t>
  </si>
  <si>
    <t>Negotiation levers</t>
  </si>
  <si>
    <t>Ask Summit Tread for: 45-day payment terms; a written 2% escalation cap for all 5 years; a lead-time service level with a penalty; warranty credit paid within 30 days of a claim; and a freight rate at or below the competing bids ($60 to $85 per tire versus its $120), or a delivered-price commitment. Cutting freight from $120 to $85 per tire saves about $24K over 5 years before discounting (692 tires x $35).</t>
  </si>
  <si>
    <t>Risks</t>
  </si>
  <si>
    <t>Failure rates and tire life are supplier-reported. Mitigate with a 3-month site trial, warranty-claim reporting, and an option to re-source a share of volume if life falls below 90% of the guaranteed hours.</t>
  </si>
  <si>
    <t>Next steps</t>
  </si>
  <si>
    <t>Verify references, confirm insurance, finalize the agreement draft, and set renewal and expiry reminders in the contract repository.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</si>
</sst>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quot;($&quot;#,##0\);\-"/>
    <numFmt numFmtId="166" formatCode="0.0%"/>
    <numFmt numFmtId="167" formatCode="&quot;Year &quot;0"/>
    <numFmt numFmtId="168" formatCode="0.0000"/>
    <numFmt numFmtId="169" formatCode="0.0"/>
  </numFmts>
  <fonts count="10" x14ac:knownFonts="1">
    <font>
      <sz val="11"/>
      <color theme="1"/>
      <name val="Calibri"/>
      <family val="2"/>
      <charset val="1"/>
    </font>
    <font>
      <b/>
      <sz val="14"/>
      <color rgb="FF1F3864"/>
      <name val="Arial"/>
      <family val="2"/>
    </font>
    <font>
      <b/>
      <i/>
      <sz val="9"/>
      <color rgb="FFC00000"/>
      <name val="Arial"/>
      <family val="2"/>
    </font>
    <font>
      <b/>
      <sz val="10"/>
      <color rgb="FF000000"/>
      <name val="Arial"/>
      <family val="2"/>
    </font>
    <font>
      <sz val="10"/>
      <color rgb="FF000000"/>
      <name val="Arial"/>
      <family val="2"/>
    </font>
    <font>
      <b/>
      <sz val="10"/>
      <color rgb="FFFFFFFF"/>
      <name val="Arial"/>
      <family val="2"/>
    </font>
    <font>
      <sz val="10"/>
      <color rgb="FF0000FF"/>
      <name val="Arial"/>
      <family val="2"/>
    </font>
    <font>
      <i/>
      <sz val="10"/>
      <color rgb="FF000000"/>
      <name val="Arial"/>
      <family val="2"/>
    </font>
    <font>
      <b/>
      <sz val="10"/>
      <color rgb="FF008000"/>
      <name val="Arial"/>
      <family val="2"/>
    </font>
    <font>
      <sz val="10"/>
      <color rgb="FF008000"/>
      <name val="Arial"/>
      <family val="2"/>
    </font>
  </fonts>
  <fills count="5">
    <fill>
      <patternFill patternType="none"/>
    </fill>
    <fill>
      <patternFill patternType="gray125"/>
    </fill>
    <fill>
      <patternFill patternType="solid">
        <fgColor rgb="FFE7E6E6"/>
        <bgColor rgb="FFFFFFFF"/>
      </patternFill>
    </fill>
    <fill>
      <patternFill patternType="solid">
        <fgColor rgb="FF1F3864"/>
        <bgColor rgb="FF333333"/>
      </patternFill>
    </fill>
    <fill>
      <patternFill patternType="solid">
        <fgColor rgb="FFFFFF99"/>
        <bgColor rgb="FFCCFFCC"/>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46">
    <xf numFmtId="0" fontId="0" fillId="0" borderId="0" xfId="0"/>
    <xf numFmtId="0" fontId="4" fillId="0" borderId="1" xfId="0" applyFont="1" applyBorder="1" applyAlignment="1">
      <alignment vertical="top" wrapText="1"/>
    </xf>
    <xf numFmtId="0" fontId="1" fillId="0" borderId="0" xfId="0" applyFont="1"/>
    <xf numFmtId="0" fontId="2" fillId="0" borderId="0" xfId="0" applyFont="1"/>
    <xf numFmtId="0" fontId="3" fillId="2" borderId="1" xfId="0" applyFont="1" applyFill="1" applyBorder="1" applyAlignment="1">
      <alignment vertical="top"/>
    </xf>
    <xf numFmtId="0" fontId="5" fillId="3" borderId="1" xfId="0" applyFont="1" applyFill="1" applyBorder="1" applyAlignment="1">
      <alignment horizontal="center" vertical="center" wrapText="1"/>
    </xf>
    <xf numFmtId="0" fontId="4" fillId="0" borderId="1" xfId="0" applyFont="1" applyBorder="1" applyAlignment="1">
      <alignment vertical="top"/>
    </xf>
    <xf numFmtId="3" fontId="6" fillId="4" borderId="1" xfId="0" applyNumberFormat="1" applyFont="1" applyFill="1" applyBorder="1" applyAlignment="1">
      <alignment vertical="top"/>
    </xf>
    <xf numFmtId="3" fontId="4" fillId="0" borderId="1" xfId="0" applyNumberFormat="1" applyFont="1" applyBorder="1" applyAlignment="1">
      <alignment vertical="top"/>
    </xf>
    <xf numFmtId="164" fontId="6" fillId="4" borderId="1" xfId="0" applyNumberFormat="1" applyFont="1" applyFill="1" applyBorder="1" applyAlignment="1">
      <alignment vertical="top"/>
    </xf>
    <xf numFmtId="165" fontId="6" fillId="4" borderId="1" xfId="0" applyNumberFormat="1" applyFont="1" applyFill="1" applyBorder="1" applyAlignment="1">
      <alignment vertical="top"/>
    </xf>
    <xf numFmtId="166" fontId="6" fillId="4" borderId="1" xfId="0" applyNumberFormat="1" applyFont="1" applyFill="1" applyBorder="1" applyAlignment="1">
      <alignment vertical="top"/>
    </xf>
    <xf numFmtId="1" fontId="6" fillId="4" borderId="1" xfId="0" applyNumberFormat="1" applyFont="1" applyFill="1" applyBorder="1" applyAlignment="1">
      <alignment vertical="top"/>
    </xf>
    <xf numFmtId="0" fontId="3" fillId="0" borderId="1" xfId="0" applyFont="1" applyBorder="1" applyAlignment="1">
      <alignment vertical="top"/>
    </xf>
    <xf numFmtId="166" fontId="3" fillId="0" borderId="1" xfId="0" applyNumberFormat="1" applyFont="1" applyBorder="1" applyAlignment="1">
      <alignment vertical="top"/>
    </xf>
    <xf numFmtId="1" fontId="6" fillId="0" borderId="1" xfId="0" applyNumberFormat="1" applyFont="1" applyBorder="1" applyAlignment="1">
      <alignment horizontal="center" vertical="top"/>
    </xf>
    <xf numFmtId="0" fontId="7" fillId="0" borderId="0" xfId="0" applyFont="1"/>
    <xf numFmtId="0" fontId="6" fillId="0" borderId="1" xfId="0" applyFont="1" applyBorder="1" applyAlignment="1">
      <alignment vertical="top" wrapText="1"/>
    </xf>
    <xf numFmtId="3" fontId="6" fillId="0" borderId="1" xfId="0" applyNumberFormat="1" applyFont="1" applyBorder="1" applyAlignment="1">
      <alignment vertical="top" wrapText="1"/>
    </xf>
    <xf numFmtId="165" fontId="6" fillId="0" borderId="1" xfId="0" applyNumberFormat="1" applyFont="1" applyBorder="1" applyAlignment="1">
      <alignment vertical="top" wrapText="1"/>
    </xf>
    <xf numFmtId="166" fontId="6" fillId="0" borderId="1" xfId="0" applyNumberFormat="1" applyFont="1" applyBorder="1" applyAlignment="1">
      <alignment vertical="top" wrapText="1"/>
    </xf>
    <xf numFmtId="1" fontId="6" fillId="0" borderId="1" xfId="0" applyNumberFormat="1" applyFont="1" applyBorder="1" applyAlignment="1">
      <alignment vertical="top" wrapText="1"/>
    </xf>
    <xf numFmtId="165" fontId="4" fillId="0" borderId="1" xfId="0" applyNumberFormat="1" applyFont="1" applyBorder="1" applyAlignment="1">
      <alignment vertical="top"/>
    </xf>
    <xf numFmtId="166" fontId="4" fillId="0" borderId="1" xfId="0" applyNumberFormat="1" applyFont="1" applyBorder="1" applyAlignment="1">
      <alignment vertical="top"/>
    </xf>
    <xf numFmtId="1" fontId="4" fillId="0" borderId="1" xfId="0" applyNumberFormat="1" applyFont="1" applyBorder="1" applyAlignment="1">
      <alignment vertical="top"/>
    </xf>
    <xf numFmtId="0" fontId="4" fillId="0" borderId="1" xfId="0" applyFont="1" applyBorder="1" applyAlignment="1">
      <alignment horizontal="center" vertical="top"/>
    </xf>
    <xf numFmtId="0" fontId="8" fillId="2" borderId="1" xfId="0" applyFont="1" applyFill="1" applyBorder="1" applyAlignment="1">
      <alignment vertical="top"/>
    </xf>
    <xf numFmtId="0" fontId="4" fillId="2" borderId="1" xfId="0" applyFont="1" applyFill="1" applyBorder="1" applyAlignment="1">
      <alignment vertical="top"/>
    </xf>
    <xf numFmtId="167" fontId="5" fillId="3" borderId="1" xfId="0" applyNumberFormat="1" applyFont="1" applyFill="1" applyBorder="1" applyAlignment="1">
      <alignment horizontal="center"/>
    </xf>
    <xf numFmtId="0" fontId="5" fillId="3" borderId="1" xfId="0" applyFont="1" applyFill="1" applyBorder="1" applyAlignment="1">
      <alignment horizontal="center"/>
    </xf>
    <xf numFmtId="164" fontId="4" fillId="0" borderId="1" xfId="0" applyNumberFormat="1" applyFont="1" applyBorder="1" applyAlignment="1">
      <alignment vertical="top"/>
    </xf>
    <xf numFmtId="165" fontId="3" fillId="0" borderId="1" xfId="0" applyNumberFormat="1" applyFont="1" applyBorder="1" applyAlignment="1">
      <alignment vertical="top"/>
    </xf>
    <xf numFmtId="168" fontId="4" fillId="0" borderId="1" xfId="0" applyNumberFormat="1" applyFont="1" applyBorder="1" applyAlignment="1">
      <alignment vertical="top"/>
    </xf>
    <xf numFmtId="0" fontId="8" fillId="0" borderId="1" xfId="0" applyFont="1" applyBorder="1" applyAlignment="1">
      <alignment vertical="top"/>
    </xf>
    <xf numFmtId="165" fontId="9" fillId="0" borderId="1" xfId="0" applyNumberFormat="1" applyFont="1" applyBorder="1" applyAlignment="1">
      <alignment vertical="top"/>
    </xf>
    <xf numFmtId="1" fontId="4" fillId="0" borderId="1" xfId="0" applyNumberFormat="1" applyFont="1" applyBorder="1" applyAlignment="1">
      <alignment horizontal="center" vertical="top"/>
    </xf>
    <xf numFmtId="2" fontId="4" fillId="0" borderId="1" xfId="0" applyNumberFormat="1" applyFont="1" applyBorder="1" applyAlignment="1">
      <alignment vertical="top"/>
    </xf>
    <xf numFmtId="166" fontId="9" fillId="0" borderId="1" xfId="0" applyNumberFormat="1" applyFont="1" applyBorder="1" applyAlignment="1">
      <alignment vertical="top"/>
    </xf>
    <xf numFmtId="2" fontId="9" fillId="0" borderId="1" xfId="0" applyNumberFormat="1" applyFont="1" applyBorder="1" applyAlignment="1">
      <alignment vertical="top"/>
    </xf>
    <xf numFmtId="169" fontId="6" fillId="4" borderId="1" xfId="0" applyNumberFormat="1" applyFont="1" applyFill="1" applyBorder="1" applyAlignment="1">
      <alignment vertical="top"/>
    </xf>
    <xf numFmtId="2" fontId="3" fillId="0" borderId="1" xfId="0" applyNumberFormat="1" applyFont="1" applyBorder="1" applyAlignment="1">
      <alignment vertical="top"/>
    </xf>
    <xf numFmtId="1" fontId="3" fillId="0" borderId="1" xfId="0" applyNumberFormat="1" applyFont="1" applyBorder="1" applyAlignment="1">
      <alignment horizontal="center" vertical="top"/>
    </xf>
    <xf numFmtId="0" fontId="3" fillId="0" borderId="1" xfId="0" applyFont="1" applyBorder="1" applyAlignment="1">
      <alignment vertical="top" wrapText="1"/>
    </xf>
    <xf numFmtId="2" fontId="8" fillId="0" borderId="1" xfId="0" applyNumberFormat="1" applyFont="1" applyBorder="1" applyAlignment="1">
      <alignment vertical="top"/>
    </xf>
    <xf numFmtId="165" fontId="8" fillId="0" borderId="1" xfId="0" applyNumberFormat="1" applyFont="1" applyBorder="1" applyAlignment="1">
      <alignment vertical="top"/>
    </xf>
    <xf numFmtId="0" fontId="4"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6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0"/>
  <sheetViews>
    <sheetView showGridLines="0" tabSelected="1" zoomScaleNormal="100" workbookViewId="0"/>
  </sheetViews>
  <sheetFormatPr defaultColWidth="8.73046875" defaultRowHeight="14.25" x14ac:dyDescent="0.45"/>
  <cols>
    <col min="1" max="1" width="16" customWidth="1"/>
    <col min="2" max="2" width="110" customWidth="1"/>
  </cols>
  <sheetData>
    <row r="1" spans="1:2" ht="17.649999999999999" x14ac:dyDescent="0.5">
      <c r="A1" s="2" t="s">
        <v>0</v>
      </c>
    </row>
    <row r="2" spans="1:2" x14ac:dyDescent="0.45">
      <c r="A2" s="3" t="s">
        <v>1</v>
      </c>
    </row>
    <row r="4" spans="1:2" ht="61.5" customHeight="1" x14ac:dyDescent="0.45">
      <c r="A4" s="4" t="s">
        <v>2</v>
      </c>
      <c r="B4" s="1" t="s">
        <v>3</v>
      </c>
    </row>
    <row r="5" spans="1:2" ht="61.5" customHeight="1" x14ac:dyDescent="0.45">
      <c r="A5" s="4" t="s">
        <v>4</v>
      </c>
      <c r="B5" s="1" t="s">
        <v>5</v>
      </c>
    </row>
    <row r="6" spans="1:2" ht="61.5" customHeight="1" x14ac:dyDescent="0.45">
      <c r="A6" s="4" t="s">
        <v>6</v>
      </c>
      <c r="B6" s="1" t="s">
        <v>7</v>
      </c>
    </row>
    <row r="7" spans="1:2" ht="61.5" customHeight="1" x14ac:dyDescent="0.45">
      <c r="A7" s="4" t="s">
        <v>8</v>
      </c>
      <c r="B7" s="1" t="s">
        <v>9</v>
      </c>
    </row>
    <row r="8" spans="1:2" ht="61.5" customHeight="1" x14ac:dyDescent="0.45">
      <c r="A8" s="4" t="s">
        <v>10</v>
      </c>
      <c r="B8" s="1" t="s">
        <v>11</v>
      </c>
    </row>
    <row r="9" spans="1:2" ht="61.5" customHeight="1" x14ac:dyDescent="0.45">
      <c r="A9" s="4" t="s">
        <v>12</v>
      </c>
      <c r="B9" s="1" t="s">
        <v>13</v>
      </c>
    </row>
    <row r="10" spans="1:2" ht="61.5" customHeight="1" x14ac:dyDescent="0.45">
      <c r="A10" s="4" t="s">
        <v>14</v>
      </c>
      <c r="B10" s="1" t="s">
        <v>15</v>
      </c>
    </row>
  </sheetData>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11"/>
  <sheetViews>
    <sheetView showGridLines="0" zoomScaleNormal="100" workbookViewId="0">
      <selection activeCell="C25" sqref="C25"/>
    </sheetView>
  </sheetViews>
  <sheetFormatPr defaultColWidth="8.73046875" defaultRowHeight="14.25" x14ac:dyDescent="0.45"/>
  <cols>
    <col min="1" max="1" width="44" customWidth="1"/>
    <col min="2" max="2" width="16" customWidth="1"/>
    <col min="3" max="3" width="52" customWidth="1"/>
  </cols>
  <sheetData>
    <row r="1" spans="1:3" ht="17.649999999999999" x14ac:dyDescent="0.5">
      <c r="A1" s="2" t="s">
        <v>16</v>
      </c>
    </row>
    <row r="2" spans="1:3" x14ac:dyDescent="0.45">
      <c r="A2" s="3" t="s">
        <v>1</v>
      </c>
    </row>
    <row r="3" spans="1:3" x14ac:dyDescent="0.45">
      <c r="A3" s="5" t="s">
        <v>17</v>
      </c>
      <c r="B3" s="5" t="s">
        <v>18</v>
      </c>
      <c r="C3" s="5" t="s">
        <v>19</v>
      </c>
    </row>
    <row r="4" spans="1:3" x14ac:dyDescent="0.45">
      <c r="A4" s="6" t="s">
        <v>20</v>
      </c>
      <c r="B4" s="7">
        <v>40</v>
      </c>
      <c r="C4" s="1" t="s">
        <v>21</v>
      </c>
    </row>
    <row r="5" spans="1:3" x14ac:dyDescent="0.45">
      <c r="A5" s="6" t="s">
        <v>22</v>
      </c>
      <c r="B5" s="7">
        <v>6</v>
      </c>
      <c r="C5" s="1" t="s">
        <v>23</v>
      </c>
    </row>
    <row r="6" spans="1:3" x14ac:dyDescent="0.45">
      <c r="A6" s="6" t="s">
        <v>24</v>
      </c>
      <c r="B6" s="7">
        <v>3000</v>
      </c>
      <c r="C6" s="1" t="s">
        <v>21</v>
      </c>
    </row>
    <row r="7" spans="1:3" x14ac:dyDescent="0.45">
      <c r="A7" s="6" t="s">
        <v>25</v>
      </c>
      <c r="B7" s="8">
        <f>B4*B5*B6</f>
        <v>720000</v>
      </c>
      <c r="C7" s="1" t="s">
        <v>26</v>
      </c>
    </row>
    <row r="8" spans="1:3" x14ac:dyDescent="0.45">
      <c r="A8" s="6" t="s">
        <v>27</v>
      </c>
      <c r="B8" s="9">
        <v>6</v>
      </c>
      <c r="C8" s="1" t="s">
        <v>21</v>
      </c>
    </row>
    <row r="9" spans="1:3" x14ac:dyDescent="0.45">
      <c r="A9" s="6" t="s">
        <v>28</v>
      </c>
      <c r="B9" s="10">
        <v>450</v>
      </c>
      <c r="C9" s="1" t="s">
        <v>29</v>
      </c>
    </row>
    <row r="10" spans="1:3" x14ac:dyDescent="0.45">
      <c r="A10" s="6" t="s">
        <v>30</v>
      </c>
      <c r="B10" s="11">
        <v>7.0000000000000007E-2</v>
      </c>
      <c r="C10" s="1" t="s">
        <v>31</v>
      </c>
    </row>
    <row r="11" spans="1:3" x14ac:dyDescent="0.45">
      <c r="A11" s="6" t="s">
        <v>32</v>
      </c>
      <c r="B11" s="12">
        <v>5</v>
      </c>
      <c r="C11" s="1" t="s">
        <v>33</v>
      </c>
    </row>
  </sheetData>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19"/>
  <sheetViews>
    <sheetView showGridLines="0" zoomScaleNormal="100" workbookViewId="0"/>
  </sheetViews>
  <sheetFormatPr defaultColWidth="8.73046875" defaultRowHeight="14.25" x14ac:dyDescent="0.45"/>
  <cols>
    <col min="1" max="1" width="34" customWidth="1"/>
    <col min="2" max="2" width="12" customWidth="1"/>
    <col min="3" max="3" width="70" customWidth="1"/>
    <col min="4" max="4" width="38" customWidth="1"/>
  </cols>
  <sheetData>
    <row r="1" spans="1:4" ht="17.649999999999999" x14ac:dyDescent="0.5">
      <c r="A1" s="2" t="s">
        <v>34</v>
      </c>
    </row>
    <row r="2" spans="1:4" x14ac:dyDescent="0.45">
      <c r="A2" s="3" t="s">
        <v>1</v>
      </c>
    </row>
    <row r="4" spans="1:4" x14ac:dyDescent="0.45">
      <c r="A4" s="5" t="s">
        <v>35</v>
      </c>
      <c r="B4" s="5" t="s">
        <v>36</v>
      </c>
      <c r="C4" s="5" t="s">
        <v>37</v>
      </c>
      <c r="D4" s="5" t="s">
        <v>38</v>
      </c>
    </row>
    <row r="5" spans="1:4" ht="30" customHeight="1" x14ac:dyDescent="0.45">
      <c r="A5" s="13" t="s">
        <v>39</v>
      </c>
      <c r="B5" s="11">
        <v>0.4</v>
      </c>
      <c r="C5" s="1" t="s">
        <v>40</v>
      </c>
      <c r="D5" s="1" t="s">
        <v>41</v>
      </c>
    </row>
    <row r="6" spans="1:4" ht="30" customHeight="1" x14ac:dyDescent="0.45">
      <c r="A6" s="13" t="s">
        <v>42</v>
      </c>
      <c r="B6" s="11">
        <v>0.2</v>
      </c>
      <c r="C6" s="1" t="s">
        <v>43</v>
      </c>
      <c r="D6" s="1" t="s">
        <v>44</v>
      </c>
    </row>
    <row r="7" spans="1:4" ht="30" customHeight="1" x14ac:dyDescent="0.45">
      <c r="A7" s="13" t="s">
        <v>45</v>
      </c>
      <c r="B7" s="11">
        <v>0.15</v>
      </c>
      <c r="C7" s="1" t="s">
        <v>46</v>
      </c>
      <c r="D7" s="1" t="s">
        <v>44</v>
      </c>
    </row>
    <row r="8" spans="1:4" ht="30" customHeight="1" x14ac:dyDescent="0.45">
      <c r="A8" s="13" t="s">
        <v>47</v>
      </c>
      <c r="B8" s="11">
        <v>0.1</v>
      </c>
      <c r="C8" s="1" t="s">
        <v>48</v>
      </c>
      <c r="D8" s="1" t="s">
        <v>44</v>
      </c>
    </row>
    <row r="9" spans="1:4" ht="30" customHeight="1" x14ac:dyDescent="0.45">
      <c r="A9" s="13" t="s">
        <v>49</v>
      </c>
      <c r="B9" s="11">
        <v>0.1</v>
      </c>
      <c r="C9" s="1" t="s">
        <v>50</v>
      </c>
      <c r="D9" s="1" t="s">
        <v>44</v>
      </c>
    </row>
    <row r="10" spans="1:4" ht="30" customHeight="1" x14ac:dyDescent="0.45">
      <c r="A10" s="13" t="s">
        <v>51</v>
      </c>
      <c r="B10" s="11">
        <v>0.05</v>
      </c>
      <c r="C10" s="1" t="s">
        <v>52</v>
      </c>
      <c r="D10" s="1" t="s">
        <v>44</v>
      </c>
    </row>
    <row r="11" spans="1:4" x14ac:dyDescent="0.45">
      <c r="A11" s="13" t="s">
        <v>53</v>
      </c>
      <c r="B11" s="14">
        <f>SUM(B5:B10)</f>
        <v>1</v>
      </c>
      <c r="C11" s="1" t="str">
        <f>IF(ROUND(B11,6)=1,"OK","CHECK: weights must sum to 100%")</f>
        <v>OK</v>
      </c>
    </row>
    <row r="14" spans="1:4" x14ac:dyDescent="0.45">
      <c r="A14" s="5" t="s">
        <v>54</v>
      </c>
      <c r="B14" s="5" t="s">
        <v>55</v>
      </c>
    </row>
    <row r="15" spans="1:4" x14ac:dyDescent="0.45">
      <c r="A15" s="15">
        <v>5</v>
      </c>
      <c r="B15" s="6" t="s">
        <v>56</v>
      </c>
    </row>
    <row r="16" spans="1:4" x14ac:dyDescent="0.45">
      <c r="A16" s="15">
        <v>4</v>
      </c>
      <c r="B16" s="6" t="s">
        <v>57</v>
      </c>
    </row>
    <row r="17" spans="1:2" x14ac:dyDescent="0.45">
      <c r="A17" s="15">
        <v>3</v>
      </c>
      <c r="B17" s="6" t="s">
        <v>58</v>
      </c>
    </row>
    <row r="18" spans="1:2" x14ac:dyDescent="0.45">
      <c r="A18" s="15">
        <v>2</v>
      </c>
      <c r="B18" s="6" t="s">
        <v>59</v>
      </c>
    </row>
    <row r="19" spans="1:2" x14ac:dyDescent="0.45">
      <c r="A19" s="15">
        <v>1</v>
      </c>
      <c r="B19" s="6" t="s">
        <v>60</v>
      </c>
    </row>
  </sheetData>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15"/>
  <sheetViews>
    <sheetView showGridLines="0" zoomScaleNormal="100" workbookViewId="0"/>
  </sheetViews>
  <sheetFormatPr defaultColWidth="8.73046875" defaultRowHeight="14.25" x14ac:dyDescent="0.45"/>
  <cols>
    <col min="1" max="1" width="8" customWidth="1"/>
    <col min="2" max="2" width="46" customWidth="1"/>
    <col min="3" max="3" width="8" customWidth="1"/>
    <col min="4" max="9" width="14" customWidth="1"/>
    <col min="10" max="10" width="16" customWidth="1"/>
    <col min="11" max="11" width="12" customWidth="1"/>
    <col min="12" max="12" width="18" customWidth="1"/>
  </cols>
  <sheetData>
    <row r="1" spans="1:12" ht="17.649999999999999" x14ac:dyDescent="0.5">
      <c r="A1" s="2" t="s">
        <v>61</v>
      </c>
    </row>
    <row r="2" spans="1:12" x14ac:dyDescent="0.45">
      <c r="A2" s="3" t="s">
        <v>1</v>
      </c>
    </row>
    <row r="3" spans="1:12" x14ac:dyDescent="0.45">
      <c r="A3" s="16" t="s">
        <v>62</v>
      </c>
    </row>
    <row r="5" spans="1:12" ht="43.5" customHeight="1" x14ac:dyDescent="0.45">
      <c r="A5" s="5" t="s">
        <v>63</v>
      </c>
      <c r="B5" s="5" t="s">
        <v>64</v>
      </c>
      <c r="C5" s="5" t="s">
        <v>65</v>
      </c>
      <c r="D5" s="5" t="s">
        <v>66</v>
      </c>
      <c r="E5" s="5" t="s">
        <v>67</v>
      </c>
      <c r="F5" s="5" t="s">
        <v>68</v>
      </c>
      <c r="G5" s="5" t="s">
        <v>69</v>
      </c>
      <c r="H5" s="5" t="s">
        <v>70</v>
      </c>
      <c r="I5" s="5" t="s">
        <v>71</v>
      </c>
      <c r="J5" s="5" t="s">
        <v>72</v>
      </c>
      <c r="K5" s="5" t="s">
        <v>73</v>
      </c>
      <c r="L5" s="5" t="s">
        <v>74</v>
      </c>
    </row>
    <row r="6" spans="1:12" x14ac:dyDescent="0.45">
      <c r="A6" s="17">
        <v>1</v>
      </c>
      <c r="B6" s="17" t="s">
        <v>75</v>
      </c>
      <c r="C6" s="17" t="s">
        <v>76</v>
      </c>
      <c r="D6" s="18">
        <v>150</v>
      </c>
      <c r="E6" s="19">
        <v>4300</v>
      </c>
      <c r="F6" s="19">
        <v>90</v>
      </c>
      <c r="G6" s="20">
        <v>0.03</v>
      </c>
      <c r="H6" s="21">
        <v>30</v>
      </c>
      <c r="I6" s="18">
        <v>4400</v>
      </c>
      <c r="J6" s="20">
        <v>0.5</v>
      </c>
      <c r="K6" s="21">
        <v>4</v>
      </c>
      <c r="L6" s="17" t="s">
        <v>77</v>
      </c>
    </row>
    <row r="7" spans="1:12" x14ac:dyDescent="0.45">
      <c r="A7" s="6">
        <v>2</v>
      </c>
      <c r="B7" s="6"/>
      <c r="C7" s="6"/>
      <c r="D7" s="8"/>
      <c r="E7" s="22"/>
      <c r="F7" s="22"/>
      <c r="G7" s="23"/>
      <c r="H7" s="24"/>
      <c r="I7" s="8"/>
      <c r="J7" s="23"/>
      <c r="K7" s="24"/>
      <c r="L7" s="6"/>
    </row>
    <row r="8" spans="1:12" x14ac:dyDescent="0.45">
      <c r="A8" s="6">
        <v>3</v>
      </c>
      <c r="B8" s="6"/>
      <c r="C8" s="6"/>
      <c r="D8" s="8"/>
      <c r="E8" s="22"/>
      <c r="F8" s="22"/>
      <c r="G8" s="23"/>
      <c r="H8" s="24"/>
      <c r="I8" s="8"/>
      <c r="J8" s="23"/>
      <c r="K8" s="24"/>
      <c r="L8" s="6"/>
    </row>
    <row r="10" spans="1:12" x14ac:dyDescent="0.45">
      <c r="A10" s="13" t="s">
        <v>78</v>
      </c>
    </row>
    <row r="11" spans="1:12" x14ac:dyDescent="0.45">
      <c r="A11" s="25" t="s">
        <v>79</v>
      </c>
      <c r="B11" s="6" t="s">
        <v>80</v>
      </c>
    </row>
    <row r="12" spans="1:12" x14ac:dyDescent="0.45">
      <c r="A12" s="25" t="s">
        <v>79</v>
      </c>
      <c r="B12" s="6" t="s">
        <v>81</v>
      </c>
    </row>
    <row r="13" spans="1:12" x14ac:dyDescent="0.45">
      <c r="A13" s="25" t="s">
        <v>79</v>
      </c>
      <c r="B13" s="6" t="s">
        <v>82</v>
      </c>
    </row>
    <row r="14" spans="1:12" x14ac:dyDescent="0.45">
      <c r="A14" s="25" t="s">
        <v>79</v>
      </c>
      <c r="B14" s="6" t="s">
        <v>83</v>
      </c>
    </row>
    <row r="15" spans="1:12" x14ac:dyDescent="0.45">
      <c r="A15" s="25" t="s">
        <v>79</v>
      </c>
      <c r="B15" s="6" t="s">
        <v>84</v>
      </c>
    </row>
  </sheetData>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16"/>
  <sheetViews>
    <sheetView showGridLines="0" zoomScaleNormal="100" workbookViewId="0"/>
  </sheetViews>
  <sheetFormatPr defaultColWidth="8.73046875" defaultRowHeight="14.25" x14ac:dyDescent="0.45"/>
  <cols>
    <col min="1" max="1" width="50" customWidth="1"/>
    <col min="2" max="2" width="12" customWidth="1"/>
    <col min="3" max="5" width="18" customWidth="1"/>
  </cols>
  <sheetData>
    <row r="1" spans="1:5" ht="17.649999999999999" x14ac:dyDescent="0.5">
      <c r="A1" s="2" t="s">
        <v>85</v>
      </c>
    </row>
    <row r="2" spans="1:5" x14ac:dyDescent="0.45">
      <c r="A2" s="3" t="s">
        <v>1</v>
      </c>
    </row>
    <row r="4" spans="1:5" x14ac:dyDescent="0.45">
      <c r="A4" s="5" t="s">
        <v>86</v>
      </c>
      <c r="B4" s="5" t="s">
        <v>65</v>
      </c>
      <c r="C4" s="5" t="s">
        <v>87</v>
      </c>
      <c r="D4" s="5" t="s">
        <v>88</v>
      </c>
      <c r="E4" s="5" t="s">
        <v>89</v>
      </c>
    </row>
    <row r="5" spans="1:5" x14ac:dyDescent="0.45">
      <c r="A5" s="6" t="s">
        <v>90</v>
      </c>
      <c r="B5" s="25" t="s">
        <v>91</v>
      </c>
      <c r="C5" s="10">
        <v>4200</v>
      </c>
      <c r="D5" s="10">
        <v>4650</v>
      </c>
      <c r="E5" s="10">
        <v>3700</v>
      </c>
    </row>
    <row r="6" spans="1:5" x14ac:dyDescent="0.45">
      <c r="A6" s="6" t="s">
        <v>92</v>
      </c>
      <c r="B6" s="25" t="s">
        <v>93</v>
      </c>
      <c r="C6" s="7">
        <v>4500</v>
      </c>
      <c r="D6" s="7">
        <v>5200</v>
      </c>
      <c r="E6" s="7">
        <v>3800</v>
      </c>
    </row>
    <row r="7" spans="1:5" x14ac:dyDescent="0.45">
      <c r="A7" s="6" t="s">
        <v>94</v>
      </c>
      <c r="B7" s="25" t="s">
        <v>91</v>
      </c>
      <c r="C7" s="10">
        <v>85</v>
      </c>
      <c r="D7" s="10">
        <v>120</v>
      </c>
      <c r="E7" s="10">
        <v>60</v>
      </c>
    </row>
    <row r="8" spans="1:5" x14ac:dyDescent="0.45">
      <c r="A8" s="6" t="s">
        <v>95</v>
      </c>
      <c r="B8" s="25" t="s">
        <v>96</v>
      </c>
      <c r="C8" s="10">
        <v>12000</v>
      </c>
      <c r="D8" s="10">
        <v>8000</v>
      </c>
      <c r="E8" s="10">
        <v>0</v>
      </c>
    </row>
    <row r="9" spans="1:5" x14ac:dyDescent="0.45">
      <c r="A9" s="6" t="s">
        <v>97</v>
      </c>
      <c r="B9" s="25" t="s">
        <v>98</v>
      </c>
      <c r="C9" s="11">
        <v>0.03</v>
      </c>
      <c r="D9" s="11">
        <v>0.02</v>
      </c>
      <c r="E9" s="11">
        <v>4.4999999999999998E-2</v>
      </c>
    </row>
    <row r="10" spans="1:5" x14ac:dyDescent="0.45">
      <c r="A10" s="6" t="s">
        <v>99</v>
      </c>
      <c r="B10" s="25" t="s">
        <v>100</v>
      </c>
      <c r="C10" s="11">
        <v>0.04</v>
      </c>
      <c r="D10" s="11">
        <v>0.02</v>
      </c>
      <c r="E10" s="11">
        <v>0.08</v>
      </c>
    </row>
    <row r="11" spans="1:5" x14ac:dyDescent="0.45">
      <c r="A11" s="6" t="s">
        <v>101</v>
      </c>
      <c r="B11" s="25" t="s">
        <v>102</v>
      </c>
      <c r="C11" s="11">
        <v>0.5</v>
      </c>
      <c r="D11" s="11">
        <v>0.75</v>
      </c>
      <c r="E11" s="11">
        <v>0.25</v>
      </c>
    </row>
    <row r="12" spans="1:5" x14ac:dyDescent="0.45">
      <c r="A12" s="6" t="s">
        <v>103</v>
      </c>
      <c r="B12" s="25" t="s">
        <v>104</v>
      </c>
      <c r="C12" s="12">
        <v>45</v>
      </c>
      <c r="D12" s="12">
        <v>30</v>
      </c>
      <c r="E12" s="12">
        <v>60</v>
      </c>
    </row>
    <row r="13" spans="1:5" x14ac:dyDescent="0.45">
      <c r="A13" s="6" t="s">
        <v>105</v>
      </c>
      <c r="B13" s="25" t="s">
        <v>106</v>
      </c>
      <c r="C13" s="12">
        <v>4</v>
      </c>
      <c r="D13" s="12">
        <v>6</v>
      </c>
      <c r="E13" s="12">
        <v>3</v>
      </c>
    </row>
    <row r="14" spans="1:5" x14ac:dyDescent="0.45">
      <c r="A14" s="6" t="s">
        <v>107</v>
      </c>
      <c r="B14" s="25" t="s">
        <v>98</v>
      </c>
      <c r="C14" s="11">
        <v>0.95</v>
      </c>
      <c r="D14" s="11">
        <v>0.92</v>
      </c>
      <c r="E14" s="11">
        <v>0.96</v>
      </c>
    </row>
    <row r="16" spans="1:5" ht="30" customHeight="1" x14ac:dyDescent="0.45">
      <c r="A16" s="45" t="s">
        <v>108</v>
      </c>
      <c r="B16" s="45"/>
      <c r="C16" s="45"/>
      <c r="D16" s="45"/>
      <c r="E16" s="45"/>
    </row>
  </sheetData>
  <mergeCells count="1">
    <mergeCell ref="A16:E16"/>
  </mergeCell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53"/>
  <sheetViews>
    <sheetView showGridLines="0" zoomScaleNormal="100" workbookViewId="0"/>
  </sheetViews>
  <sheetFormatPr defaultColWidth="8.73046875" defaultRowHeight="14.25" x14ac:dyDescent="0.45"/>
  <cols>
    <col min="1" max="1" width="42" customWidth="1"/>
    <col min="2" max="6" width="14" customWidth="1"/>
    <col min="7" max="7" width="16" customWidth="1"/>
  </cols>
  <sheetData>
    <row r="1" spans="1:7" ht="17.649999999999999" x14ac:dyDescent="0.5">
      <c r="A1" s="2" t="s">
        <v>109</v>
      </c>
    </row>
    <row r="2" spans="1:7" x14ac:dyDescent="0.45">
      <c r="A2" s="3" t="s">
        <v>1</v>
      </c>
    </row>
    <row r="4" spans="1:7" x14ac:dyDescent="0.45">
      <c r="A4" s="26" t="str">
        <f>Bids!C4</f>
        <v>Northfield Tire</v>
      </c>
      <c r="B4" s="27"/>
      <c r="C4" s="27"/>
      <c r="D4" s="27"/>
      <c r="E4" s="27"/>
      <c r="F4" s="27"/>
      <c r="G4" s="27"/>
    </row>
    <row r="5" spans="1:7" x14ac:dyDescent="0.45">
      <c r="A5" s="5" t="s">
        <v>110</v>
      </c>
      <c r="B5" s="28">
        <v>1</v>
      </c>
      <c r="C5" s="28">
        <v>2</v>
      </c>
      <c r="D5" s="28">
        <v>3</v>
      </c>
      <c r="E5" s="28">
        <v>4</v>
      </c>
      <c r="F5" s="28">
        <v>5</v>
      </c>
      <c r="G5" s="29" t="s">
        <v>111</v>
      </c>
    </row>
    <row r="6" spans="1:7" x14ac:dyDescent="0.45">
      <c r="A6" s="6" t="s">
        <v>112</v>
      </c>
      <c r="B6" s="30">
        <f>Assumptions!$B$7/Bids!$C$6</f>
        <v>160</v>
      </c>
      <c r="C6" s="30">
        <f>Assumptions!$B$7/Bids!$C$6</f>
        <v>160</v>
      </c>
      <c r="D6" s="30">
        <f>Assumptions!$B$7/Bids!$C$6</f>
        <v>160</v>
      </c>
      <c r="E6" s="30">
        <f>Assumptions!$B$7/Bids!$C$6</f>
        <v>160</v>
      </c>
      <c r="F6" s="30">
        <f>Assumptions!$B$7/Bids!$C$6</f>
        <v>160</v>
      </c>
      <c r="G6" s="30">
        <f>SUM(B6:F6)</f>
        <v>800</v>
      </c>
    </row>
    <row r="7" spans="1:7" x14ac:dyDescent="0.45">
      <c r="A7" s="6" t="s">
        <v>67</v>
      </c>
      <c r="B7" s="22">
        <f>Bids!$C$5*(1+Bids!$C$9)^(B$5-1)</f>
        <v>4200</v>
      </c>
      <c r="C7" s="22">
        <f>Bids!$C$5*(1+Bids!$C$9)^(C$5-1)</f>
        <v>4326</v>
      </c>
      <c r="D7" s="22">
        <f>Bids!$C$5*(1+Bids!$C$9)^(D$5-1)</f>
        <v>4455.78</v>
      </c>
      <c r="E7" s="22">
        <f>Bids!$C$5*(1+Bids!$C$9)^(E$5-1)</f>
        <v>4589.4534000000003</v>
      </c>
      <c r="F7" s="22">
        <f>Bids!$C$5*(1+Bids!$C$9)^(F$5-1)</f>
        <v>4727.1370019999995</v>
      </c>
      <c r="G7" s="6"/>
    </row>
    <row r="8" spans="1:7" x14ac:dyDescent="0.45">
      <c r="A8" s="6" t="s">
        <v>113</v>
      </c>
      <c r="B8" s="22">
        <f>B6*B7</f>
        <v>672000</v>
      </c>
      <c r="C8" s="22">
        <f>C6*C7</f>
        <v>692160</v>
      </c>
      <c r="D8" s="22">
        <f>D6*D7</f>
        <v>712924.79999999993</v>
      </c>
      <c r="E8" s="22">
        <f>E6*E7</f>
        <v>734312.54399999999</v>
      </c>
      <c r="F8" s="22">
        <f>F6*F7</f>
        <v>756341.92031999992</v>
      </c>
      <c r="G8" s="22">
        <f t="shared" ref="G8:G15" si="0">SUM(B8:F8)</f>
        <v>3567739.2643199996</v>
      </c>
    </row>
    <row r="9" spans="1:7" x14ac:dyDescent="0.45">
      <c r="A9" s="6" t="s">
        <v>114</v>
      </c>
      <c r="B9" s="22">
        <f>B6*Bids!$C$7</f>
        <v>13600</v>
      </c>
      <c r="C9" s="22">
        <f>C6*Bids!$C$7</f>
        <v>13600</v>
      </c>
      <c r="D9" s="22">
        <f>D6*Bids!$C$7</f>
        <v>13600</v>
      </c>
      <c r="E9" s="22">
        <f>E6*Bids!$C$7</f>
        <v>13600</v>
      </c>
      <c r="F9" s="22">
        <f>F6*Bids!$C$7</f>
        <v>13600</v>
      </c>
      <c r="G9" s="22">
        <f t="shared" si="0"/>
        <v>68000</v>
      </c>
    </row>
    <row r="10" spans="1:7" x14ac:dyDescent="0.45">
      <c r="A10" s="6" t="s">
        <v>115</v>
      </c>
      <c r="B10" s="22">
        <f>Bids!$C$8</f>
        <v>12000</v>
      </c>
      <c r="C10" s="22">
        <f>Bids!$C$8</f>
        <v>12000</v>
      </c>
      <c r="D10" s="22">
        <f>Bids!$C$8</f>
        <v>12000</v>
      </c>
      <c r="E10" s="22">
        <f>Bids!$C$8</f>
        <v>12000</v>
      </c>
      <c r="F10" s="22">
        <f>Bids!$C$8</f>
        <v>12000</v>
      </c>
      <c r="G10" s="22">
        <f t="shared" si="0"/>
        <v>60000</v>
      </c>
    </row>
    <row r="11" spans="1:7" x14ac:dyDescent="0.45">
      <c r="A11" s="6" t="s">
        <v>116</v>
      </c>
      <c r="B11" s="30">
        <f>B6*Bids!$C$10</f>
        <v>6.4</v>
      </c>
      <c r="C11" s="30">
        <f>C6*Bids!$C$10</f>
        <v>6.4</v>
      </c>
      <c r="D11" s="30">
        <f>D6*Bids!$C$10</f>
        <v>6.4</v>
      </c>
      <c r="E11" s="30">
        <f>E6*Bids!$C$10</f>
        <v>6.4</v>
      </c>
      <c r="F11" s="30">
        <f>F6*Bids!$C$10</f>
        <v>6.4</v>
      </c>
      <c r="G11" s="30">
        <f t="shared" si="0"/>
        <v>32</v>
      </c>
    </row>
    <row r="12" spans="1:7" x14ac:dyDescent="0.45">
      <c r="A12" s="6" t="s">
        <v>117</v>
      </c>
      <c r="B12" s="22">
        <f>B11*Assumptions!$B$8*Assumptions!$B$9</f>
        <v>17280.000000000004</v>
      </c>
      <c r="C12" s="22">
        <f>C11*Assumptions!$B$8*Assumptions!$B$9</f>
        <v>17280.000000000004</v>
      </c>
      <c r="D12" s="22">
        <f>D11*Assumptions!$B$8*Assumptions!$B$9</f>
        <v>17280.000000000004</v>
      </c>
      <c r="E12" s="22">
        <f>E11*Assumptions!$B$8*Assumptions!$B$9</f>
        <v>17280.000000000004</v>
      </c>
      <c r="F12" s="22">
        <f>F11*Assumptions!$B$8*Assumptions!$B$9</f>
        <v>17280.000000000004</v>
      </c>
      <c r="G12" s="22">
        <f t="shared" si="0"/>
        <v>86400.000000000015</v>
      </c>
    </row>
    <row r="13" spans="1:7" x14ac:dyDescent="0.45">
      <c r="A13" s="6" t="s">
        <v>118</v>
      </c>
      <c r="B13" s="22">
        <f>-B11*B7*Bids!$C$11</f>
        <v>-13440</v>
      </c>
      <c r="C13" s="22">
        <f>-C11*C7*Bids!$C$11</f>
        <v>-13843.2</v>
      </c>
      <c r="D13" s="22">
        <f>-D11*D7*Bids!$C$11</f>
        <v>-14258.495999999999</v>
      </c>
      <c r="E13" s="22">
        <f>-E11*E7*Bids!$C$11</f>
        <v>-14686.250880000001</v>
      </c>
      <c r="F13" s="22">
        <f>-F11*F7*Bids!$C$11</f>
        <v>-15126.838406399998</v>
      </c>
      <c r="G13" s="22">
        <f t="shared" si="0"/>
        <v>-71354.785286400001</v>
      </c>
    </row>
    <row r="14" spans="1:7" x14ac:dyDescent="0.45">
      <c r="A14" s="6" t="s">
        <v>119</v>
      </c>
      <c r="B14" s="22">
        <f>-B8*Assumptions!$B$10*Bids!$C$12/365</f>
        <v>-5799.4520547945222</v>
      </c>
      <c r="C14" s="22">
        <f>-C8*Assumptions!$B$10*Bids!$C$12/365</f>
        <v>-5973.4356164383562</v>
      </c>
      <c r="D14" s="22">
        <f>-D8*Assumptions!$B$10*Bids!$C$12/365</f>
        <v>-6152.6386849315058</v>
      </c>
      <c r="E14" s="22">
        <f>-E8*Assumptions!$B$10*Bids!$C$12/365</f>
        <v>-6337.217845479453</v>
      </c>
      <c r="F14" s="22">
        <f>-F8*Assumptions!$B$10*Bids!$C$12/365</f>
        <v>-6527.3343808438358</v>
      </c>
      <c r="G14" s="22">
        <f t="shared" si="0"/>
        <v>-30790.078582487673</v>
      </c>
    </row>
    <row r="15" spans="1:7" x14ac:dyDescent="0.45">
      <c r="A15" s="13" t="s">
        <v>120</v>
      </c>
      <c r="B15" s="31">
        <f>B8+B9+B10+B12+B13+B14</f>
        <v>695640.54794520547</v>
      </c>
      <c r="C15" s="31">
        <f>C8+C9+C10+C12+C13+C14</f>
        <v>715223.36438356165</v>
      </c>
      <c r="D15" s="31">
        <f>D8+D9+D10+D12+D13+D14</f>
        <v>735393.66531506833</v>
      </c>
      <c r="E15" s="31">
        <f>E8+E9+E10+E12+E13+E14</f>
        <v>756169.07527452055</v>
      </c>
      <c r="F15" s="31">
        <f>F8+F9+F10+F12+F13+F14</f>
        <v>777567.74753275618</v>
      </c>
      <c r="G15" s="31">
        <f t="shared" si="0"/>
        <v>3679994.4004511121</v>
      </c>
    </row>
    <row r="16" spans="1:7" x14ac:dyDescent="0.45">
      <c r="A16" s="6" t="s">
        <v>121</v>
      </c>
      <c r="B16" s="32">
        <f>1/(1+Assumptions!$B$10)^B$5</f>
        <v>0.93457943925233644</v>
      </c>
      <c r="C16" s="32">
        <f>1/(1+Assumptions!$B$10)^C$5</f>
        <v>0.87343872827321156</v>
      </c>
      <c r="D16" s="32">
        <f>1/(1+Assumptions!$B$10)^D$5</f>
        <v>0.81629787689085187</v>
      </c>
      <c r="E16" s="32">
        <f>1/(1+Assumptions!$B$10)^E$5</f>
        <v>0.7628952120475252</v>
      </c>
      <c r="F16" s="32">
        <f>1/(1+Assumptions!$B$10)^F$5</f>
        <v>0.71298617948366838</v>
      </c>
      <c r="G16" s="6"/>
    </row>
    <row r="17" spans="1:7" x14ac:dyDescent="0.45">
      <c r="A17" s="13" t="s">
        <v>122</v>
      </c>
      <c r="B17" s="31">
        <f>B15*B16</f>
        <v>650131.35321981821</v>
      </c>
      <c r="C17" s="31">
        <f>C15*C16</f>
        <v>624703.78581846587</v>
      </c>
      <c r="D17" s="31">
        <f>D15*D16</f>
        <v>600300.28767567198</v>
      </c>
      <c r="E17" s="31">
        <f>E15*E16</f>
        <v>576877.76702533639</v>
      </c>
      <c r="F17" s="31">
        <f>F15*F16</f>
        <v>554395.05760310148</v>
      </c>
      <c r="G17" s="31">
        <f>SUM(B17:F17)</f>
        <v>3006408.2513423935</v>
      </c>
    </row>
    <row r="20" spans="1:7" x14ac:dyDescent="0.45">
      <c r="A20" s="26" t="str">
        <f>Bids!D4</f>
        <v>Summit Tread</v>
      </c>
      <c r="B20" s="27"/>
      <c r="C20" s="27"/>
      <c r="D20" s="27"/>
      <c r="E20" s="27"/>
      <c r="F20" s="27"/>
      <c r="G20" s="27"/>
    </row>
    <row r="21" spans="1:7" x14ac:dyDescent="0.45">
      <c r="A21" s="5" t="s">
        <v>110</v>
      </c>
      <c r="B21" s="28">
        <v>1</v>
      </c>
      <c r="C21" s="28">
        <v>2</v>
      </c>
      <c r="D21" s="28">
        <v>3</v>
      </c>
      <c r="E21" s="28">
        <v>4</v>
      </c>
      <c r="F21" s="28">
        <v>5</v>
      </c>
      <c r="G21" s="29" t="s">
        <v>111</v>
      </c>
    </row>
    <row r="22" spans="1:7" x14ac:dyDescent="0.45">
      <c r="A22" s="6" t="s">
        <v>112</v>
      </c>
      <c r="B22" s="30">
        <f>Assumptions!$B$7/Bids!$D$6</f>
        <v>138.46153846153845</v>
      </c>
      <c r="C22" s="30">
        <f>Assumptions!$B$7/Bids!$D$6</f>
        <v>138.46153846153845</v>
      </c>
      <c r="D22" s="30">
        <f>Assumptions!$B$7/Bids!$D$6</f>
        <v>138.46153846153845</v>
      </c>
      <c r="E22" s="30">
        <f>Assumptions!$B$7/Bids!$D$6</f>
        <v>138.46153846153845</v>
      </c>
      <c r="F22" s="30">
        <f>Assumptions!$B$7/Bids!$D$6</f>
        <v>138.46153846153845</v>
      </c>
      <c r="G22" s="30">
        <f>SUM(B22:F22)</f>
        <v>692.30769230769226</v>
      </c>
    </row>
    <row r="23" spans="1:7" x14ac:dyDescent="0.45">
      <c r="A23" s="6" t="s">
        <v>67</v>
      </c>
      <c r="B23" s="22">
        <f>Bids!$D$5*(1+Bids!$D$9)^(B$21-1)</f>
        <v>4650</v>
      </c>
      <c r="C23" s="22">
        <f>Bids!$D$5*(1+Bids!$D$9)^(C$21-1)</f>
        <v>4743</v>
      </c>
      <c r="D23" s="22">
        <f>Bids!$D$5*(1+Bids!$D$9)^(D$21-1)</f>
        <v>4837.8599999999997</v>
      </c>
      <c r="E23" s="22">
        <f>Bids!$D$5*(1+Bids!$D$9)^(E$21-1)</f>
        <v>4934.6171999999997</v>
      </c>
      <c r="F23" s="22">
        <f>Bids!$D$5*(1+Bids!$D$9)^(F$21-1)</f>
        <v>5033.3095439999997</v>
      </c>
      <c r="G23" s="6"/>
    </row>
    <row r="24" spans="1:7" x14ac:dyDescent="0.45">
      <c r="A24" s="6" t="s">
        <v>113</v>
      </c>
      <c r="B24" s="22">
        <f>B22*B23</f>
        <v>643846.15384615376</v>
      </c>
      <c r="C24" s="22">
        <f>C22*C23</f>
        <v>656723.07692307688</v>
      </c>
      <c r="D24" s="22">
        <f>D22*D23</f>
        <v>669857.53846153838</v>
      </c>
      <c r="E24" s="22">
        <f>E22*E23</f>
        <v>683254.68923076917</v>
      </c>
      <c r="F24" s="22">
        <f>F22*F23</f>
        <v>696919.78301538457</v>
      </c>
      <c r="G24" s="22">
        <f t="shared" ref="G24:G31" si="1">SUM(B24:F24)</f>
        <v>3350601.2414769223</v>
      </c>
    </row>
    <row r="25" spans="1:7" x14ac:dyDescent="0.45">
      <c r="A25" s="6" t="s">
        <v>114</v>
      </c>
      <c r="B25" s="22">
        <f>B22*Bids!$D$7</f>
        <v>16615.384615384613</v>
      </c>
      <c r="C25" s="22">
        <f>C22*Bids!$D$7</f>
        <v>16615.384615384613</v>
      </c>
      <c r="D25" s="22">
        <f>D22*Bids!$D$7</f>
        <v>16615.384615384613</v>
      </c>
      <c r="E25" s="22">
        <f>E22*Bids!$D$7</f>
        <v>16615.384615384613</v>
      </c>
      <c r="F25" s="22">
        <f>F22*Bids!$D$7</f>
        <v>16615.384615384613</v>
      </c>
      <c r="G25" s="22">
        <f t="shared" si="1"/>
        <v>83076.923076923063</v>
      </c>
    </row>
    <row r="26" spans="1:7" x14ac:dyDescent="0.45">
      <c r="A26" s="6" t="s">
        <v>115</v>
      </c>
      <c r="B26" s="22">
        <f>Bids!$D$8</f>
        <v>8000</v>
      </c>
      <c r="C26" s="22">
        <f>Bids!$D$8</f>
        <v>8000</v>
      </c>
      <c r="D26" s="22">
        <f>Bids!$D$8</f>
        <v>8000</v>
      </c>
      <c r="E26" s="22">
        <f>Bids!$D$8</f>
        <v>8000</v>
      </c>
      <c r="F26" s="22">
        <f>Bids!$D$8</f>
        <v>8000</v>
      </c>
      <c r="G26" s="22">
        <f t="shared" si="1"/>
        <v>40000</v>
      </c>
    </row>
    <row r="27" spans="1:7" x14ac:dyDescent="0.45">
      <c r="A27" s="6" t="s">
        <v>116</v>
      </c>
      <c r="B27" s="30">
        <f>B22*Bids!$D$10</f>
        <v>2.7692307692307692</v>
      </c>
      <c r="C27" s="30">
        <f>C22*Bids!$D$10</f>
        <v>2.7692307692307692</v>
      </c>
      <c r="D27" s="30">
        <f>D22*Bids!$D$10</f>
        <v>2.7692307692307692</v>
      </c>
      <c r="E27" s="30">
        <f>E22*Bids!$D$10</f>
        <v>2.7692307692307692</v>
      </c>
      <c r="F27" s="30">
        <f>F22*Bids!$D$10</f>
        <v>2.7692307692307692</v>
      </c>
      <c r="G27" s="30">
        <f t="shared" si="1"/>
        <v>13.846153846153847</v>
      </c>
    </row>
    <row r="28" spans="1:7" x14ac:dyDescent="0.45">
      <c r="A28" s="6" t="s">
        <v>117</v>
      </c>
      <c r="B28" s="22">
        <f>B27*Assumptions!$B$8*Assumptions!$B$9</f>
        <v>7476.9230769230762</v>
      </c>
      <c r="C28" s="22">
        <f>C27*Assumptions!$B$8*Assumptions!$B$9</f>
        <v>7476.9230769230762</v>
      </c>
      <c r="D28" s="22">
        <f>D27*Assumptions!$B$8*Assumptions!$B$9</f>
        <v>7476.9230769230762</v>
      </c>
      <c r="E28" s="22">
        <f>E27*Assumptions!$B$8*Assumptions!$B$9</f>
        <v>7476.9230769230762</v>
      </c>
      <c r="F28" s="22">
        <f>F27*Assumptions!$B$8*Assumptions!$B$9</f>
        <v>7476.9230769230762</v>
      </c>
      <c r="G28" s="22">
        <f t="shared" si="1"/>
        <v>37384.615384615383</v>
      </c>
    </row>
    <row r="29" spans="1:7" x14ac:dyDescent="0.45">
      <c r="A29" s="6" t="s">
        <v>118</v>
      </c>
      <c r="B29" s="22">
        <f>-B27*B23*Bids!$D$11</f>
        <v>-9657.6923076923067</v>
      </c>
      <c r="C29" s="22">
        <f>-C27*C23*Bids!$D$11</f>
        <v>-9850.8461538461543</v>
      </c>
      <c r="D29" s="22">
        <f>-D27*D23*Bids!$D$11</f>
        <v>-10047.863076923077</v>
      </c>
      <c r="E29" s="22">
        <f>-E27*E23*Bids!$D$11</f>
        <v>-10248.820338461537</v>
      </c>
      <c r="F29" s="22">
        <f>-F27*F23*Bids!$D$11</f>
        <v>-10453.796745230768</v>
      </c>
      <c r="G29" s="22">
        <f t="shared" si="1"/>
        <v>-50259.018622153846</v>
      </c>
    </row>
    <row r="30" spans="1:7" x14ac:dyDescent="0.45">
      <c r="A30" s="6" t="s">
        <v>119</v>
      </c>
      <c r="B30" s="22">
        <f>-B24*Assumptions!$B$10*Bids!$D$12/365</f>
        <v>-3704.3203371970494</v>
      </c>
      <c r="C30" s="22">
        <f>-C24*Assumptions!$B$10*Bids!$D$12/365</f>
        <v>-3778.4067439409905</v>
      </c>
      <c r="D30" s="22">
        <f>-D24*Assumptions!$B$10*Bids!$D$12/365</f>
        <v>-3853.9748788198099</v>
      </c>
      <c r="E30" s="22">
        <f>-E24*Assumptions!$B$10*Bids!$D$12/365</f>
        <v>-3931.0543763962064</v>
      </c>
      <c r="F30" s="22">
        <f>-F24*Assumptions!$B$10*Bids!$D$12/365</f>
        <v>-4009.6754639241308</v>
      </c>
      <c r="G30" s="22">
        <f t="shared" si="1"/>
        <v>-19277.431800278187</v>
      </c>
    </row>
    <row r="31" spans="1:7" x14ac:dyDescent="0.45">
      <c r="A31" s="13" t="s">
        <v>120</v>
      </c>
      <c r="B31" s="31">
        <f>B24+B25+B26+B28+B29+B30</f>
        <v>662576.4488935722</v>
      </c>
      <c r="C31" s="31">
        <f>C24+C25+C26+C28+C29+C30</f>
        <v>675186.13171759748</v>
      </c>
      <c r="D31" s="31">
        <f>D24+D25+D26+D28+D29+D30</f>
        <v>688048.00819810329</v>
      </c>
      <c r="E31" s="31">
        <f>E24+E25+E26+E28+E29+E30</f>
        <v>701167.12220821914</v>
      </c>
      <c r="F31" s="31">
        <f>F24+F25+F26+F28+F29+F30</f>
        <v>714548.61849853734</v>
      </c>
      <c r="G31" s="31">
        <f t="shared" si="1"/>
        <v>3441526.3295160295</v>
      </c>
    </row>
    <row r="32" spans="1:7" x14ac:dyDescent="0.45">
      <c r="A32" s="6" t="s">
        <v>121</v>
      </c>
      <c r="B32" s="32">
        <f>1/(1+Assumptions!$B$10)^B$21</f>
        <v>0.93457943925233644</v>
      </c>
      <c r="C32" s="32">
        <f>1/(1+Assumptions!$B$10)^C$21</f>
        <v>0.87343872827321156</v>
      </c>
      <c r="D32" s="32">
        <f>1/(1+Assumptions!$B$10)^D$21</f>
        <v>0.81629787689085187</v>
      </c>
      <c r="E32" s="32">
        <f>1/(1+Assumptions!$B$10)^E$21</f>
        <v>0.7628952120475252</v>
      </c>
      <c r="F32" s="32">
        <f>1/(1+Assumptions!$B$10)^F$21</f>
        <v>0.71298617948366838</v>
      </c>
      <c r="G32" s="6"/>
    </row>
    <row r="33" spans="1:7" x14ac:dyDescent="0.45">
      <c r="A33" s="13" t="s">
        <v>122</v>
      </c>
      <c r="B33" s="31">
        <f>B31*B32</f>
        <v>619230.32606875908</v>
      </c>
      <c r="C33" s="31">
        <f>C31*C32</f>
        <v>589733.71623512742</v>
      </c>
      <c r="D33" s="31">
        <f>D31*D32</f>
        <v>561652.12829109118</v>
      </c>
      <c r="E33" s="31">
        <f>E31*E32</f>
        <v>534917.04037779232</v>
      </c>
      <c r="F33" s="31">
        <f>F31*F32</f>
        <v>509463.28955860541</v>
      </c>
      <c r="G33" s="31">
        <f>SUM(B33:F33)</f>
        <v>2814996.5005313754</v>
      </c>
    </row>
    <row r="36" spans="1:7" x14ac:dyDescent="0.45">
      <c r="A36" s="26" t="str">
        <f>Bids!E4</f>
        <v>Prairie Rubber</v>
      </c>
      <c r="B36" s="27"/>
      <c r="C36" s="27"/>
      <c r="D36" s="27"/>
      <c r="E36" s="27"/>
      <c r="F36" s="27"/>
      <c r="G36" s="27"/>
    </row>
    <row r="37" spans="1:7" x14ac:dyDescent="0.45">
      <c r="A37" s="5" t="s">
        <v>110</v>
      </c>
      <c r="B37" s="28">
        <v>1</v>
      </c>
      <c r="C37" s="28">
        <v>2</v>
      </c>
      <c r="D37" s="28">
        <v>3</v>
      </c>
      <c r="E37" s="28">
        <v>4</v>
      </c>
      <c r="F37" s="28">
        <v>5</v>
      </c>
      <c r="G37" s="29" t="s">
        <v>111</v>
      </c>
    </row>
    <row r="38" spans="1:7" x14ac:dyDescent="0.45">
      <c r="A38" s="6" t="s">
        <v>112</v>
      </c>
      <c r="B38" s="30">
        <f>Assumptions!$B$7/Bids!$E$6</f>
        <v>189.47368421052633</v>
      </c>
      <c r="C38" s="30">
        <f>Assumptions!$B$7/Bids!$E$6</f>
        <v>189.47368421052633</v>
      </c>
      <c r="D38" s="30">
        <f>Assumptions!$B$7/Bids!$E$6</f>
        <v>189.47368421052633</v>
      </c>
      <c r="E38" s="30">
        <f>Assumptions!$B$7/Bids!$E$6</f>
        <v>189.47368421052633</v>
      </c>
      <c r="F38" s="30">
        <f>Assumptions!$B$7/Bids!$E$6</f>
        <v>189.47368421052633</v>
      </c>
      <c r="G38" s="30">
        <f>SUM(B38:F38)</f>
        <v>947.36842105263167</v>
      </c>
    </row>
    <row r="39" spans="1:7" x14ac:dyDescent="0.45">
      <c r="A39" s="6" t="s">
        <v>67</v>
      </c>
      <c r="B39" s="22">
        <f>Bids!$E$5*(1+Bids!$E$9)^(B$37-1)</f>
        <v>3700</v>
      </c>
      <c r="C39" s="22">
        <f>Bids!$E$5*(1+Bids!$E$9)^(C$37-1)</f>
        <v>3866.4999999999995</v>
      </c>
      <c r="D39" s="22">
        <f>Bids!$E$5*(1+Bids!$E$9)^(D$37-1)</f>
        <v>4040.4924999999994</v>
      </c>
      <c r="E39" s="22">
        <f>Bids!$E$5*(1+Bids!$E$9)^(E$37-1)</f>
        <v>4222.314662499999</v>
      </c>
      <c r="F39" s="22">
        <f>Bids!$E$5*(1+Bids!$E$9)^(F$37-1)</f>
        <v>4412.318822312498</v>
      </c>
      <c r="G39" s="6"/>
    </row>
    <row r="40" spans="1:7" x14ac:dyDescent="0.45">
      <c r="A40" s="6" t="s">
        <v>113</v>
      </c>
      <c r="B40" s="22">
        <f>B38*B39</f>
        <v>701052.63157894742</v>
      </c>
      <c r="C40" s="22">
        <f>C38*C39</f>
        <v>732600</v>
      </c>
      <c r="D40" s="22">
        <f>D38*D39</f>
        <v>765566.99999999988</v>
      </c>
      <c r="E40" s="22">
        <f>E38*E39</f>
        <v>800017.5149999999</v>
      </c>
      <c r="F40" s="22">
        <f>F38*F39</f>
        <v>836018.30317499966</v>
      </c>
      <c r="G40" s="22">
        <f t="shared" ref="G40:G47" si="2">SUM(B40:F40)</f>
        <v>3835255.4497539466</v>
      </c>
    </row>
    <row r="41" spans="1:7" x14ac:dyDescent="0.45">
      <c r="A41" s="6" t="s">
        <v>114</v>
      </c>
      <c r="B41" s="22">
        <f>B38*Bids!$E$7</f>
        <v>11368.42105263158</v>
      </c>
      <c r="C41" s="22">
        <f>C38*Bids!$E$7</f>
        <v>11368.42105263158</v>
      </c>
      <c r="D41" s="22">
        <f>D38*Bids!$E$7</f>
        <v>11368.42105263158</v>
      </c>
      <c r="E41" s="22">
        <f>E38*Bids!$E$7</f>
        <v>11368.42105263158</v>
      </c>
      <c r="F41" s="22">
        <f>F38*Bids!$E$7</f>
        <v>11368.42105263158</v>
      </c>
      <c r="G41" s="22">
        <f t="shared" si="2"/>
        <v>56842.1052631579</v>
      </c>
    </row>
    <row r="42" spans="1:7" x14ac:dyDescent="0.45">
      <c r="A42" s="6" t="s">
        <v>115</v>
      </c>
      <c r="B42" s="22">
        <f>Bids!$E$8</f>
        <v>0</v>
      </c>
      <c r="C42" s="22">
        <f>Bids!$E$8</f>
        <v>0</v>
      </c>
      <c r="D42" s="22">
        <f>Bids!$E$8</f>
        <v>0</v>
      </c>
      <c r="E42" s="22">
        <f>Bids!$E$8</f>
        <v>0</v>
      </c>
      <c r="F42" s="22">
        <f>Bids!$E$8</f>
        <v>0</v>
      </c>
      <c r="G42" s="22">
        <f t="shared" si="2"/>
        <v>0</v>
      </c>
    </row>
    <row r="43" spans="1:7" x14ac:dyDescent="0.45">
      <c r="A43" s="6" t="s">
        <v>116</v>
      </c>
      <c r="B43" s="30">
        <f>B38*Bids!$E$10</f>
        <v>15.157894736842106</v>
      </c>
      <c r="C43" s="30">
        <f>C38*Bids!$E$10</f>
        <v>15.157894736842106</v>
      </c>
      <c r="D43" s="30">
        <f>D38*Bids!$E$10</f>
        <v>15.157894736842106</v>
      </c>
      <c r="E43" s="30">
        <f>E38*Bids!$E$10</f>
        <v>15.157894736842106</v>
      </c>
      <c r="F43" s="30">
        <f>F38*Bids!$E$10</f>
        <v>15.157894736842106</v>
      </c>
      <c r="G43" s="30">
        <f t="shared" si="2"/>
        <v>75.789473684210535</v>
      </c>
    </row>
    <row r="44" spans="1:7" x14ac:dyDescent="0.45">
      <c r="A44" s="6" t="s">
        <v>117</v>
      </c>
      <c r="B44" s="22">
        <f>B43*Assumptions!$B$8*Assumptions!$B$9</f>
        <v>40926.315789473687</v>
      </c>
      <c r="C44" s="22">
        <f>C43*Assumptions!$B$8*Assumptions!$B$9</f>
        <v>40926.315789473687</v>
      </c>
      <c r="D44" s="22">
        <f>D43*Assumptions!$B$8*Assumptions!$B$9</f>
        <v>40926.315789473687</v>
      </c>
      <c r="E44" s="22">
        <f>E43*Assumptions!$B$8*Assumptions!$B$9</f>
        <v>40926.315789473687</v>
      </c>
      <c r="F44" s="22">
        <f>F43*Assumptions!$B$8*Assumptions!$B$9</f>
        <v>40926.315789473687</v>
      </c>
      <c r="G44" s="22">
        <f t="shared" si="2"/>
        <v>204631.57894736843</v>
      </c>
    </row>
    <row r="45" spans="1:7" x14ac:dyDescent="0.45">
      <c r="A45" s="6" t="s">
        <v>118</v>
      </c>
      <c r="B45" s="22">
        <f>-B43*B39*Bids!$E$11</f>
        <v>-14021.052631578948</v>
      </c>
      <c r="C45" s="22">
        <f>-C43*C39*Bids!$E$11</f>
        <v>-14652</v>
      </c>
      <c r="D45" s="22">
        <f>-D43*D39*Bids!$E$11</f>
        <v>-15311.339999999998</v>
      </c>
      <c r="E45" s="22">
        <f>-E43*E39*Bids!$E$11</f>
        <v>-16000.350299999996</v>
      </c>
      <c r="F45" s="22">
        <f>-F43*F39*Bids!$E$11</f>
        <v>-16720.366063499994</v>
      </c>
      <c r="G45" s="22">
        <f t="shared" si="2"/>
        <v>-76705.108995078932</v>
      </c>
    </row>
    <row r="46" spans="1:7" x14ac:dyDescent="0.45">
      <c r="A46" s="6" t="s">
        <v>119</v>
      </c>
      <c r="B46" s="22">
        <f>-B40*Assumptions!$B$10*Bids!$E$12/365</f>
        <v>-8066.9069935111766</v>
      </c>
      <c r="C46" s="22">
        <f>-C40*Assumptions!$B$10*Bids!$E$12/365</f>
        <v>-8429.9178082191793</v>
      </c>
      <c r="D46" s="22">
        <f>-D40*Assumptions!$B$10*Bids!$E$12/365</f>
        <v>-8809.2641095890413</v>
      </c>
      <c r="E46" s="22">
        <f>-E40*Assumptions!$B$10*Bids!$E$12/365</f>
        <v>-9205.6809945205478</v>
      </c>
      <c r="F46" s="22">
        <f>-F40*Assumptions!$B$10*Bids!$E$12/365</f>
        <v>-9619.9366392739703</v>
      </c>
      <c r="G46" s="22">
        <f t="shared" si="2"/>
        <v>-44131.706545113913</v>
      </c>
    </row>
    <row r="47" spans="1:7" x14ac:dyDescent="0.45">
      <c r="A47" s="13" t="s">
        <v>120</v>
      </c>
      <c r="B47" s="31">
        <f>B40+B41+B42+B44+B45+B46</f>
        <v>731259.40879596258</v>
      </c>
      <c r="C47" s="31">
        <f>C40+C41+C42+C44+C45+C46</f>
        <v>761812.81903388607</v>
      </c>
      <c r="D47" s="31">
        <f>D40+D41+D42+D44+D45+D46</f>
        <v>793741.13273251615</v>
      </c>
      <c r="E47" s="31">
        <f>E40+E41+E42+E44+E45+E46</f>
        <v>827106.22054758458</v>
      </c>
      <c r="F47" s="31">
        <f>F40+F41+F42+F44+F45+F46</f>
        <v>861972.737314331</v>
      </c>
      <c r="G47" s="31">
        <f t="shared" si="2"/>
        <v>3975892.3184242803</v>
      </c>
    </row>
    <row r="48" spans="1:7" x14ac:dyDescent="0.45">
      <c r="A48" s="6" t="s">
        <v>121</v>
      </c>
      <c r="B48" s="32">
        <f>1/(1+Assumptions!$B$10)^B$37</f>
        <v>0.93457943925233644</v>
      </c>
      <c r="C48" s="32">
        <f>1/(1+Assumptions!$B$10)^C$37</f>
        <v>0.87343872827321156</v>
      </c>
      <c r="D48" s="32">
        <f>1/(1+Assumptions!$B$10)^D$37</f>
        <v>0.81629787689085187</v>
      </c>
      <c r="E48" s="32">
        <f>1/(1+Assumptions!$B$10)^E$37</f>
        <v>0.7628952120475252</v>
      </c>
      <c r="F48" s="32">
        <f>1/(1+Assumptions!$B$10)^F$37</f>
        <v>0.71298617948366838</v>
      </c>
      <c r="G48" s="6"/>
    </row>
    <row r="49" spans="1:7" x14ac:dyDescent="0.45">
      <c r="A49" s="13" t="s">
        <v>122</v>
      </c>
      <c r="B49" s="31">
        <f>B47*B48</f>
        <v>683420.00822052581</v>
      </c>
      <c r="C49" s="31">
        <f>C47*C48</f>
        <v>665396.81983918766</v>
      </c>
      <c r="D49" s="31">
        <f>D47*D48</f>
        <v>647929.20145049284</v>
      </c>
      <c r="E49" s="31">
        <f>E47*E48</f>
        <v>630995.37551047665</v>
      </c>
      <c r="F49" s="31">
        <f>F47*F48</f>
        <v>614574.64879682451</v>
      </c>
      <c r="G49" s="31">
        <f>SUM(B49:F49)</f>
        <v>3242316.0538175069</v>
      </c>
    </row>
    <row r="53" spans="1:7" ht="30" customHeight="1" x14ac:dyDescent="0.45">
      <c r="A53" s="45" t="s">
        <v>123</v>
      </c>
      <c r="B53" s="45"/>
      <c r="C53" s="45"/>
      <c r="D53" s="45"/>
      <c r="E53" s="45"/>
      <c r="F53" s="45"/>
      <c r="G53" s="45"/>
    </row>
  </sheetData>
  <mergeCells count="1">
    <mergeCell ref="A53:G53"/>
  </mergeCell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9"/>
  <sheetViews>
    <sheetView showGridLines="0" zoomScaleNormal="100" workbookViewId="0"/>
  </sheetViews>
  <sheetFormatPr defaultColWidth="8.73046875" defaultRowHeight="14.25" x14ac:dyDescent="0.45"/>
  <cols>
    <col min="1" max="1" width="22" customWidth="1"/>
    <col min="2" max="2" width="14" customWidth="1"/>
    <col min="3" max="4" width="20" customWidth="1"/>
    <col min="5" max="5" width="18" customWidth="1"/>
    <col min="6" max="6" width="16" customWidth="1"/>
    <col min="7" max="8" width="20" customWidth="1"/>
    <col min="9" max="9" width="16" customWidth="1"/>
  </cols>
  <sheetData>
    <row r="1" spans="1:9" ht="17.649999999999999" x14ac:dyDescent="0.5">
      <c r="A1" s="2" t="s">
        <v>124</v>
      </c>
    </row>
    <row r="2" spans="1:9" x14ac:dyDescent="0.45">
      <c r="A2" s="3" t="s">
        <v>1</v>
      </c>
    </row>
    <row r="4" spans="1:9" ht="43.5" customHeight="1" x14ac:dyDescent="0.45">
      <c r="A4" s="5" t="s">
        <v>125</v>
      </c>
      <c r="B4" s="5" t="s">
        <v>67</v>
      </c>
      <c r="C4" s="5" t="s">
        <v>126</v>
      </c>
      <c r="D4" s="5" t="s">
        <v>127</v>
      </c>
      <c r="E4" s="5" t="s">
        <v>128</v>
      </c>
      <c r="F4" s="5" t="s">
        <v>129</v>
      </c>
      <c r="G4" s="5" t="s">
        <v>130</v>
      </c>
      <c r="H4" s="5" t="s">
        <v>131</v>
      </c>
      <c r="I4" s="5" t="s">
        <v>132</v>
      </c>
    </row>
    <row r="5" spans="1:9" x14ac:dyDescent="0.45">
      <c r="A5" s="33" t="str">
        <f>Bids!C4</f>
        <v>Northfield Tire</v>
      </c>
      <c r="B5" s="34">
        <f>Bids!C5</f>
        <v>4200</v>
      </c>
      <c r="C5" s="34">
        <f>TCO!G15</f>
        <v>3679994.4004511121</v>
      </c>
      <c r="D5" s="34">
        <f>TCO!G17</f>
        <v>3006408.2513423935</v>
      </c>
      <c r="E5" s="22">
        <f>D5-MIN($D$5:$D$7)</f>
        <v>191411.75081101805</v>
      </c>
      <c r="F5" s="23">
        <f>D5/MIN($D$5:$D$7)-1</f>
        <v>6.799715409055973E-2</v>
      </c>
      <c r="G5" s="35">
        <f>RANK(B5,$B$5:$B$7,1)</f>
        <v>2</v>
      </c>
      <c r="H5" s="35">
        <f>RANK(D5,$D$5:$D$7,1)</f>
        <v>2</v>
      </c>
      <c r="I5" s="36">
        <f>5*MIN($D$5:$D$7)/D5</f>
        <v>4.681660415338551</v>
      </c>
    </row>
    <row r="6" spans="1:9" x14ac:dyDescent="0.45">
      <c r="A6" s="33" t="str">
        <f>Bids!D4</f>
        <v>Summit Tread</v>
      </c>
      <c r="B6" s="34">
        <f>Bids!D5</f>
        <v>4650</v>
      </c>
      <c r="C6" s="34">
        <f>TCO!G31</f>
        <v>3441526.3295160295</v>
      </c>
      <c r="D6" s="34">
        <f>TCO!G33</f>
        <v>2814996.5005313754</v>
      </c>
      <c r="E6" s="22">
        <f>D6-MIN($D$5:$D$7)</f>
        <v>0</v>
      </c>
      <c r="F6" s="23">
        <f>D6/MIN($D$5:$D$7)-1</f>
        <v>0</v>
      </c>
      <c r="G6" s="35">
        <f>RANK(B6,$B$5:$B$7,1)</f>
        <v>3</v>
      </c>
      <c r="H6" s="35">
        <f>RANK(D6,$D$5:$D$7,1)</f>
        <v>1</v>
      </c>
      <c r="I6" s="36">
        <f>5*MIN($D$5:$D$7)/D6</f>
        <v>5</v>
      </c>
    </row>
    <row r="7" spans="1:9" x14ac:dyDescent="0.45">
      <c r="A7" s="33" t="str">
        <f>Bids!E4</f>
        <v>Prairie Rubber</v>
      </c>
      <c r="B7" s="34">
        <f>Bids!E5</f>
        <v>3700</v>
      </c>
      <c r="C7" s="34">
        <f>TCO!G47</f>
        <v>3975892.3184242803</v>
      </c>
      <c r="D7" s="34">
        <f>TCO!G49</f>
        <v>3242316.0538175069</v>
      </c>
      <c r="E7" s="22">
        <f>D7-MIN($D$5:$D$7)</f>
        <v>427319.55328613147</v>
      </c>
      <c r="F7" s="23">
        <f>D7/MIN($D$5:$D$7)-1</f>
        <v>0.15180109574042744</v>
      </c>
      <c r="G7" s="35">
        <f>RANK(B7,$B$5:$B$7,1)</f>
        <v>1</v>
      </c>
      <c r="H7" s="35">
        <f>RANK(D7,$D$5:$D$7,1)</f>
        <v>3</v>
      </c>
      <c r="I7" s="36">
        <f>5*MIN($D$5:$D$7)/D7</f>
        <v>4.3410272993235735</v>
      </c>
    </row>
    <row r="9" spans="1:9" ht="15" customHeight="1" x14ac:dyDescent="0.45">
      <c r="A9" s="45" t="s">
        <v>133</v>
      </c>
      <c r="B9" s="45"/>
      <c r="C9" s="45"/>
      <c r="D9" s="45"/>
      <c r="E9" s="45"/>
      <c r="F9" s="45"/>
      <c r="G9" s="45"/>
      <c r="H9" s="45"/>
      <c r="I9" s="45"/>
    </row>
  </sheetData>
  <mergeCells count="1">
    <mergeCell ref="A9:I9"/>
  </mergeCell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21"/>
  <sheetViews>
    <sheetView showGridLines="0" zoomScaleNormal="100" workbookViewId="0"/>
  </sheetViews>
  <sheetFormatPr defaultColWidth="8.73046875" defaultRowHeight="14.25" x14ac:dyDescent="0.45"/>
  <cols>
    <col min="1" max="1" width="34" customWidth="1"/>
    <col min="2" max="2" width="10" customWidth="1"/>
    <col min="3" max="5" width="34" customWidth="1"/>
  </cols>
  <sheetData>
    <row r="1" spans="1:5" ht="17.649999999999999" x14ac:dyDescent="0.5">
      <c r="A1" s="2" t="s">
        <v>134</v>
      </c>
    </row>
    <row r="2" spans="1:5" x14ac:dyDescent="0.45">
      <c r="A2" s="3" t="s">
        <v>1</v>
      </c>
    </row>
    <row r="4" spans="1:5" x14ac:dyDescent="0.45">
      <c r="A4" s="5" t="s">
        <v>35</v>
      </c>
      <c r="B4" s="5" t="s">
        <v>36</v>
      </c>
      <c r="C4" s="5" t="str">
        <f>Bids!C4</f>
        <v>Northfield Tire</v>
      </c>
      <c r="D4" s="5" t="str">
        <f>Bids!D4</f>
        <v>Summit Tread</v>
      </c>
      <c r="E4" s="5" t="str">
        <f>Bids!E4</f>
        <v>Prairie Rubber</v>
      </c>
    </row>
    <row r="5" spans="1:5" x14ac:dyDescent="0.45">
      <c r="A5" s="33" t="str">
        <f>Criteria!A5</f>
        <v>Total cost of ownership</v>
      </c>
      <c r="B5" s="37">
        <f>Criteria!B5</f>
        <v>0.4</v>
      </c>
      <c r="C5" s="38">
        <f>TCO_Summary!I5</f>
        <v>4.681660415338551</v>
      </c>
      <c r="D5" s="38">
        <f>TCO_Summary!I6</f>
        <v>5</v>
      </c>
      <c r="E5" s="38">
        <f>TCO_Summary!I7</f>
        <v>4.3410272993235735</v>
      </c>
    </row>
    <row r="6" spans="1:5" x14ac:dyDescent="0.45">
      <c r="A6" s="33" t="str">
        <f>Criteria!A6</f>
        <v>Technical performance &amp; quality</v>
      </c>
      <c r="B6" s="37">
        <f>Criteria!B6</f>
        <v>0.2</v>
      </c>
      <c r="C6" s="39">
        <v>4</v>
      </c>
      <c r="D6" s="39">
        <v>5</v>
      </c>
      <c r="E6" s="39">
        <v>3</v>
      </c>
    </row>
    <row r="7" spans="1:5" x14ac:dyDescent="0.45">
      <c r="A7" s="33" t="str">
        <f>Criteria!A7</f>
        <v>Delivery &amp; service</v>
      </c>
      <c r="B7" s="37">
        <f>Criteria!B7</f>
        <v>0.15</v>
      </c>
      <c r="C7" s="39">
        <v>4</v>
      </c>
      <c r="D7" s="39">
        <v>3</v>
      </c>
      <c r="E7" s="39">
        <v>4</v>
      </c>
    </row>
    <row r="8" spans="1:5" x14ac:dyDescent="0.45">
      <c r="A8" s="33" t="str">
        <f>Criteria!A8</f>
        <v>Supplier risk &amp; compliance</v>
      </c>
      <c r="B8" s="37">
        <f>Criteria!B8</f>
        <v>0.1</v>
      </c>
      <c r="C8" s="39">
        <v>4</v>
      </c>
      <c r="D8" s="39">
        <v>4</v>
      </c>
      <c r="E8" s="39">
        <v>3</v>
      </c>
    </row>
    <row r="9" spans="1:5" x14ac:dyDescent="0.45">
      <c r="A9" s="33" t="str">
        <f>Criteria!A9</f>
        <v>Commercial terms</v>
      </c>
      <c r="B9" s="37">
        <f>Criteria!B9</f>
        <v>0.1</v>
      </c>
      <c r="C9" s="39">
        <v>3</v>
      </c>
      <c r="D9" s="39">
        <v>4</v>
      </c>
      <c r="E9" s="39">
        <v>3</v>
      </c>
    </row>
    <row r="10" spans="1:5" x14ac:dyDescent="0.45">
      <c r="A10" s="33" t="str">
        <f>Criteria!A10</f>
        <v>Sustainability &amp; safety practices</v>
      </c>
      <c r="B10" s="37">
        <f>Criteria!B10</f>
        <v>0.05</v>
      </c>
      <c r="C10" s="39">
        <v>3</v>
      </c>
      <c r="D10" s="39">
        <v>4</v>
      </c>
      <c r="E10" s="39">
        <v>2</v>
      </c>
    </row>
    <row r="11" spans="1:5" x14ac:dyDescent="0.45">
      <c r="A11" s="13" t="s">
        <v>135</v>
      </c>
      <c r="B11" s="14">
        <f>SUM(B5:B10)</f>
        <v>1</v>
      </c>
      <c r="C11" s="40">
        <f>SUMPRODUCT($B$5:$B$10,C5:C10)</f>
        <v>4.1226641661354204</v>
      </c>
      <c r="D11" s="40">
        <f>SUMPRODUCT($B$5:$B$10,D5:D10)</f>
        <v>4.45</v>
      </c>
      <c r="E11" s="40">
        <f>SUMPRODUCT($B$5:$B$10,E5:E10)</f>
        <v>3.6364109197294296</v>
      </c>
    </row>
    <row r="12" spans="1:5" x14ac:dyDescent="0.45">
      <c r="A12" s="13" t="s">
        <v>136</v>
      </c>
      <c r="C12" s="14">
        <f>C11/5</f>
        <v>0.82453283322708404</v>
      </c>
      <c r="D12" s="14">
        <f>D11/5</f>
        <v>0.89</v>
      </c>
      <c r="E12" s="14">
        <f>E11/5</f>
        <v>0.72728218394588595</v>
      </c>
    </row>
    <row r="13" spans="1:5" x14ac:dyDescent="0.45">
      <c r="A13" s="13" t="s">
        <v>137</v>
      </c>
      <c r="C13" s="41">
        <f>RANK(C11,$C$11:$E$11)</f>
        <v>2</v>
      </c>
      <c r="D13" s="41">
        <f>RANK(D11,$C$11:$E$11)</f>
        <v>1</v>
      </c>
      <c r="E13" s="41">
        <f>RANK(E11,$C$11:$E$11)</f>
        <v>3</v>
      </c>
    </row>
    <row r="16" spans="1:5" ht="26.25" x14ac:dyDescent="0.45">
      <c r="A16" s="5" t="s">
        <v>138</v>
      </c>
      <c r="B16" s="5"/>
      <c r="C16" s="5" t="s">
        <v>87</v>
      </c>
      <c r="D16" s="5" t="s">
        <v>88</v>
      </c>
      <c r="E16" s="5" t="s">
        <v>89</v>
      </c>
    </row>
    <row r="17" spans="1:5" ht="43.5" customHeight="1" x14ac:dyDescent="0.45">
      <c r="A17" s="42" t="s">
        <v>42</v>
      </c>
      <c r="B17" s="6"/>
      <c r="C17" s="1" t="s">
        <v>139</v>
      </c>
      <c r="D17" s="1" t="s">
        <v>140</v>
      </c>
      <c r="E17" s="1" t="s">
        <v>141</v>
      </c>
    </row>
    <row r="18" spans="1:5" ht="43.5" customHeight="1" x14ac:dyDescent="0.45">
      <c r="A18" s="42" t="s">
        <v>45</v>
      </c>
      <c r="B18" s="6"/>
      <c r="C18" s="1" t="s">
        <v>142</v>
      </c>
      <c r="D18" s="1" t="s">
        <v>143</v>
      </c>
      <c r="E18" s="1" t="s">
        <v>144</v>
      </c>
    </row>
    <row r="19" spans="1:5" ht="43.5" customHeight="1" x14ac:dyDescent="0.45">
      <c r="A19" s="42" t="s">
        <v>47</v>
      </c>
      <c r="B19" s="6"/>
      <c r="C19" s="1" t="s">
        <v>145</v>
      </c>
      <c r="D19" s="1" t="s">
        <v>146</v>
      </c>
      <c r="E19" s="1" t="s">
        <v>147</v>
      </c>
    </row>
    <row r="20" spans="1:5" ht="43.5" customHeight="1" x14ac:dyDescent="0.45">
      <c r="A20" s="42" t="s">
        <v>49</v>
      </c>
      <c r="B20" s="6"/>
      <c r="C20" s="1" t="s">
        <v>148</v>
      </c>
      <c r="D20" s="1" t="s">
        <v>149</v>
      </c>
      <c r="E20" s="1" t="s">
        <v>150</v>
      </c>
    </row>
    <row r="21" spans="1:5" ht="43.5" customHeight="1" x14ac:dyDescent="0.45">
      <c r="A21" s="42" t="s">
        <v>51</v>
      </c>
      <c r="B21" s="6"/>
      <c r="C21" s="1" t="s">
        <v>151</v>
      </c>
      <c r="D21" s="1" t="s">
        <v>152</v>
      </c>
      <c r="E21" s="1" t="s">
        <v>153</v>
      </c>
    </row>
  </sheetData>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10"/>
  <sheetViews>
    <sheetView showGridLines="0" zoomScaleNormal="100" workbookViewId="0"/>
  </sheetViews>
  <sheetFormatPr defaultColWidth="8.73046875" defaultRowHeight="14.25" x14ac:dyDescent="0.45"/>
  <cols>
    <col min="1" max="1" width="32" customWidth="1"/>
    <col min="2" max="2" width="12" customWidth="1"/>
    <col min="3" max="5" width="18" customWidth="1"/>
    <col min="6" max="6" width="22" customWidth="1"/>
  </cols>
  <sheetData>
    <row r="1" spans="1:6" ht="17.649999999999999" x14ac:dyDescent="0.5">
      <c r="A1" s="2" t="s">
        <v>154</v>
      </c>
    </row>
    <row r="2" spans="1:6" x14ac:dyDescent="0.45">
      <c r="A2" s="3" t="s">
        <v>1</v>
      </c>
    </row>
    <row r="4" spans="1:6" x14ac:dyDescent="0.45">
      <c r="A4" s="5" t="s">
        <v>155</v>
      </c>
      <c r="B4" s="5" t="s">
        <v>156</v>
      </c>
      <c r="C4" s="5" t="str">
        <f>Bids!C4</f>
        <v>Northfield Tire</v>
      </c>
      <c r="D4" s="5" t="str">
        <f>Bids!D4</f>
        <v>Summit Tread</v>
      </c>
      <c r="E4" s="5" t="str">
        <f>Bids!E4</f>
        <v>Prairie Rubber</v>
      </c>
      <c r="F4" s="5" t="s">
        <v>157</v>
      </c>
    </row>
    <row r="5" spans="1:6" x14ac:dyDescent="0.45">
      <c r="A5" s="13" t="s">
        <v>158</v>
      </c>
      <c r="B5" s="37">
        <f>Criteria!B5</f>
        <v>0.4</v>
      </c>
      <c r="C5" s="36">
        <f>$B5*Scoring!C5+(1-$B5)/(1-Criteria!$B$5)*SUMPRODUCT(Criteria!$B$6:$B$10,Scoring!C6:C10)</f>
        <v>4.1226641661354204</v>
      </c>
      <c r="D5" s="36">
        <f>$B5*Scoring!D5+(1-$B5)/(1-Criteria!$B$5)*SUMPRODUCT(Criteria!$B$6:$B$10,Scoring!D6:D10)</f>
        <v>4.45</v>
      </c>
      <c r="E5" s="36">
        <f>$B5*Scoring!E5+(1-$B5)/(1-Criteria!$B$5)*SUMPRODUCT(Criteria!$B$6:$B$10,Scoring!E6:E10)</f>
        <v>3.6364109197294301</v>
      </c>
      <c r="F5" s="13" t="str">
        <f>INDEX($C$4:$E$4,MATCH(MAX(C5:E5),C5:E5,0))</f>
        <v>Summit Tread</v>
      </c>
    </row>
    <row r="6" spans="1:6" x14ac:dyDescent="0.45">
      <c r="A6" s="13" t="s">
        <v>159</v>
      </c>
      <c r="B6" s="11">
        <v>0.6</v>
      </c>
      <c r="C6" s="36">
        <f>$B6*Scoring!C5+(1-$B6)/(1-Criteria!$B$5)*SUMPRODUCT(Criteria!$B$6:$B$10,Scoring!C6:C10)</f>
        <v>4.3089962492031306</v>
      </c>
      <c r="D6" s="36">
        <f>$B6*Scoring!D5+(1-$B6)/(1-Criteria!$B$5)*SUMPRODUCT(Criteria!$B$6:$B$10,Scoring!D6:D10)</f>
        <v>4.6333333333333337</v>
      </c>
      <c r="E6" s="36">
        <f>$B6*Scoring!E5+(1-$B6)/(1-Criteria!$B$5)*SUMPRODUCT(Criteria!$B$6:$B$10,Scoring!E6:E10)</f>
        <v>3.8712830462608112</v>
      </c>
      <c r="F6" s="13" t="str">
        <f>INDEX($C$4:$E$4,MATCH(MAX(C6:E6),C6:E6,0))</f>
        <v>Summit Tread</v>
      </c>
    </row>
    <row r="7" spans="1:6" x14ac:dyDescent="0.45">
      <c r="A7" s="13" t="s">
        <v>160</v>
      </c>
      <c r="B7" s="11">
        <v>0.25</v>
      </c>
      <c r="C7" s="36">
        <f>$B7*Scoring!C5+(1-$B7)/(1-Criteria!$B$5)*SUMPRODUCT(Criteria!$B$6:$B$10,Scoring!C6:C10)</f>
        <v>3.9829151038346371</v>
      </c>
      <c r="D7" s="36">
        <f>$B7*Scoring!D5+(1-$B7)/(1-Criteria!$B$5)*SUMPRODUCT(Criteria!$B$6:$B$10,Scoring!D6:D10)</f>
        <v>4.3125</v>
      </c>
      <c r="E7" s="36">
        <f>$B7*Scoring!E5+(1-$B7)/(1-Criteria!$B$5)*SUMPRODUCT(Criteria!$B$6:$B$10,Scoring!E6:E10)</f>
        <v>3.4602568248308936</v>
      </c>
      <c r="F7" s="13" t="str">
        <f>INDEX($C$4:$E$4,MATCH(MAX(C7:E7),C7:E7,0))</f>
        <v>Summit Tread</v>
      </c>
    </row>
    <row r="8" spans="1:6" x14ac:dyDescent="0.45">
      <c r="A8" s="13" t="s">
        <v>161</v>
      </c>
      <c r="B8" s="11">
        <v>0</v>
      </c>
      <c r="C8" s="36">
        <f>$B8*Scoring!C5+(1-$B8)/(1-Criteria!$B$5)*SUMPRODUCT(Criteria!$B$6:$B$10,Scoring!C6:C10)</f>
        <v>3.7499999999999996</v>
      </c>
      <c r="D8" s="36">
        <f>$B8*Scoring!D5+(1-$B8)/(1-Criteria!$B$5)*SUMPRODUCT(Criteria!$B$6:$B$10,Scoring!D6:D10)</f>
        <v>4.0833333333333339</v>
      </c>
      <c r="E8" s="36">
        <f>$B8*Scoring!E5+(1-$B8)/(1-Criteria!$B$5)*SUMPRODUCT(Criteria!$B$6:$B$10,Scoring!E6:E10)</f>
        <v>3.1666666666666674</v>
      </c>
      <c r="F8" s="13" t="str">
        <f>INDEX($C$4:$E$4,MATCH(MAX(C8:E8),C8:E8,0))</f>
        <v>Summit Tread</v>
      </c>
    </row>
    <row r="10" spans="1:6" ht="15" customHeight="1" x14ac:dyDescent="0.45">
      <c r="A10" s="45" t="s">
        <v>162</v>
      </c>
      <c r="B10" s="45"/>
      <c r="C10" s="45"/>
      <c r="D10" s="45"/>
      <c r="E10" s="45"/>
      <c r="F10" s="45"/>
    </row>
  </sheetData>
  <mergeCells count="1">
    <mergeCell ref="A10:F10"/>
  </mergeCells>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18"/>
  <sheetViews>
    <sheetView showGridLines="0" zoomScaleNormal="100" workbookViewId="0">
      <selection activeCell="G17" sqref="G17"/>
    </sheetView>
  </sheetViews>
  <sheetFormatPr defaultColWidth="8.73046875" defaultRowHeight="14.25" x14ac:dyDescent="0.45"/>
  <cols>
    <col min="1" max="1" width="48" customWidth="1"/>
    <col min="2" max="2" width="90" customWidth="1"/>
  </cols>
  <sheetData>
    <row r="1" spans="1:2" ht="17.649999999999999" x14ac:dyDescent="0.5">
      <c r="A1" s="2" t="s">
        <v>163</v>
      </c>
    </row>
    <row r="2" spans="1:2" x14ac:dyDescent="0.45">
      <c r="A2" s="3" t="s">
        <v>1</v>
      </c>
    </row>
    <row r="4" spans="1:2" x14ac:dyDescent="0.45">
      <c r="A4" s="5" t="s">
        <v>164</v>
      </c>
      <c r="B4" s="5" t="s">
        <v>165</v>
      </c>
    </row>
    <row r="5" spans="1:2" x14ac:dyDescent="0.45">
      <c r="A5" s="42" t="s">
        <v>166</v>
      </c>
      <c r="B5" s="33" t="str">
        <f>INDEX(Scoring!C4:E4,MATCH(MAX(Scoring!C11:E11),Scoring!C11:E11,0))</f>
        <v>Summit Tread</v>
      </c>
    </row>
    <row r="6" spans="1:2" x14ac:dyDescent="0.45">
      <c r="A6" s="42" t="s">
        <v>135</v>
      </c>
      <c r="B6" s="43">
        <f>MAX(Scoring!C11:E11)</f>
        <v>4.45</v>
      </c>
    </row>
    <row r="7" spans="1:2" x14ac:dyDescent="0.45">
      <c r="A7" s="42" t="s">
        <v>167</v>
      </c>
      <c r="B7" s="44">
        <f>INDEX(TCO_Summary!D5:D7,MATCH(B5,TCO_Summary!A5:A7,0))</f>
        <v>2814996.5005313754</v>
      </c>
    </row>
    <row r="8" spans="1:2" x14ac:dyDescent="0.45">
      <c r="A8" s="42" t="s">
        <v>168</v>
      </c>
      <c r="B8" s="33" t="str">
        <f>INDEX(TCO_Summary!A5:A7,MATCH(MIN(TCO_Summary!B5:B7),TCO_Summary!B5:B7,0))</f>
        <v>Prairie Rubber</v>
      </c>
    </row>
    <row r="9" spans="1:2" x14ac:dyDescent="0.45">
      <c r="A9" s="42" t="s">
        <v>169</v>
      </c>
      <c r="B9" s="44">
        <f>INDEX(TCO_Summary!D5:D7,MATCH(B8,TCO_Summary!A5:A7,0))</f>
        <v>3242316.0538175069</v>
      </c>
    </row>
    <row r="10" spans="1:2" ht="26.25" x14ac:dyDescent="0.45">
      <c r="A10" s="42" t="s">
        <v>170</v>
      </c>
      <c r="B10" s="44">
        <f>B9-B7</f>
        <v>427319.55328613147</v>
      </c>
    </row>
    <row r="11" spans="1:2" x14ac:dyDescent="0.45">
      <c r="A11" s="42" t="s">
        <v>171</v>
      </c>
      <c r="B11" s="33" t="str">
        <f>IF(COUNTIF(Sensitivity!F5:F8,B5)=4,"Yes","No: review Sensitivity sheet")</f>
        <v>Yes</v>
      </c>
    </row>
    <row r="13" spans="1:2" x14ac:dyDescent="0.45">
      <c r="A13" s="4" t="s">
        <v>172</v>
      </c>
      <c r="B13" s="27"/>
    </row>
    <row r="14" spans="1:2" ht="57.75" customHeight="1" x14ac:dyDescent="0.45">
      <c r="A14" s="13" t="s">
        <v>173</v>
      </c>
      <c r="B14" s="1" t="s">
        <v>174</v>
      </c>
    </row>
    <row r="15" spans="1:2" ht="57.75" customHeight="1" x14ac:dyDescent="0.45">
      <c r="A15" s="13" t="s">
        <v>175</v>
      </c>
      <c r="B15" s="1" t="s">
        <v>176</v>
      </c>
    </row>
    <row r="16" spans="1:2" ht="80" customHeight="1" x14ac:dyDescent="0.45">
      <c r="A16" s="13" t="s">
        <v>177</v>
      </c>
      <c r="B16" s="1" t="s">
        <v>178</v>
      </c>
    </row>
    <row r="17" spans="1:2" ht="57.75" customHeight="1" x14ac:dyDescent="0.45">
      <c r="A17" s="13" t="s">
        <v>179</v>
      </c>
      <c r="B17" s="1" t="s">
        <v>180</v>
      </c>
    </row>
    <row r="18" spans="1:2" ht="57.75" customHeight="1" x14ac:dyDescent="0.45">
      <c r="A18" s="13" t="s">
        <v>181</v>
      </c>
      <c r="B18" s="1" t="s">
        <v>182</v>
      </c>
    </row>
  </sheetData>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Assumptions</vt:lpstr>
      <vt:lpstr>Criteria</vt:lpstr>
      <vt:lpstr>Pricing_Template</vt:lpstr>
      <vt:lpstr>Bids</vt:lpstr>
      <vt:lpstr>TCO</vt:lpstr>
      <vt:lpstr>TCO_Summary</vt:lpstr>
      <vt:lpstr>Scoring</vt:lpstr>
      <vt:lpstr>Sensitivity</vt:lpstr>
      <vt:lpstr>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moyosoluwa.yusuf@ucalgary.ca</dc:creator>
  <dc:description/>
  <cp:lastModifiedBy>Mo Yusuf</cp:lastModifiedBy>
  <cp:revision>0</cp:revision>
  <dcterms:created xsi:type="dcterms:W3CDTF">2026-10-06T16:19:49Z</dcterms:created>
  <dcterms:modified xsi:type="dcterms:W3CDTF">2026-10-21T16:16:15Z</dcterms:modified>
  <dc:language>en-US</dc:language>
</cp:coreProperties>
</file>